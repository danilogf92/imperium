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l\Downloads\"/>
    </mc:Choice>
  </mc:AlternateContent>
  <xr:revisionPtr revIDLastSave="0" documentId="13_ncr:1_{FC17F4D7-1ACB-4084-9F34-77C982E0DC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Worksheet" sheetId="1" r:id="rId1"/>
    <sheet name="gráfica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Danilo Granda</author>
  </authors>
  <commentList>
    <comment ref="A2" authorId="0" shapeId="0" xr:uid="{F607674D-7E5E-4C20-85E7-10C7080D0C06}">
      <text>
        <r>
          <rPr>
            <b/>
            <sz val="9"/>
            <color indexed="81"/>
            <rFont val="Tahoma"/>
            <family val="2"/>
          </rPr>
          <t>Danilo Granda:</t>
        </r>
        <r>
          <rPr>
            <sz val="9"/>
            <color indexed="81"/>
            <rFont val="Tahoma"/>
            <family val="2"/>
          </rPr>
          <t xml:space="preserve">
cuando creo se registra el mes</t>
        </r>
      </text>
    </comment>
    <comment ref="C2" authorId="0" shapeId="0" xr:uid="{DBD24840-CB4D-4F6E-8EB7-DAD8E6065CB9}">
      <text>
        <r>
          <rPr>
            <b/>
            <sz val="9"/>
            <color indexed="81"/>
            <rFont val="Tahoma"/>
            <family val="2"/>
          </rPr>
          <t>Danilo Granda:</t>
        </r>
        <r>
          <rPr>
            <sz val="9"/>
            <color indexed="81"/>
            <rFont val="Tahoma"/>
            <family val="2"/>
          </rPr>
          <t xml:space="preserve">
cuando paso a ejecución debo registrar el mes, parece que era para quartil, y debe dividirse para el total, y es acumulativo</t>
        </r>
      </text>
    </comment>
  </commentList>
</comments>
</file>

<file path=xl/sharedStrings.xml><?xml version="1.0" encoding="utf-8"?>
<sst xmlns="http://schemas.openxmlformats.org/spreadsheetml/2006/main" count="7329" uniqueCount="596">
  <si>
    <t>id</t>
  </si>
  <si>
    <t>area</t>
  </si>
  <si>
    <t>group 1</t>
  </si>
  <si>
    <t>group 2</t>
  </si>
  <si>
    <t>description</t>
  </si>
  <si>
    <t>general classification</t>
  </si>
  <si>
    <t>item type</t>
  </si>
  <si>
    <t>stage</t>
  </si>
  <si>
    <t>unit</t>
  </si>
  <si>
    <t>qty</t>
  </si>
  <si>
    <t>unit price</t>
  </si>
  <si>
    <t>global price</t>
  </si>
  <si>
    <t>real</t>
  </si>
  <si>
    <t>booked</t>
  </si>
  <si>
    <t>percentage</t>
  </si>
  <si>
    <t>executed dollars</t>
  </si>
  <si>
    <t>executed euros</t>
  </si>
  <si>
    <t>supplier</t>
  </si>
  <si>
    <t>code</t>
  </si>
  <si>
    <t>order no</t>
  </si>
  <si>
    <t>input num</t>
  </si>
  <si>
    <t>observations</t>
  </si>
  <si>
    <t>Seguridad industrial</t>
  </si>
  <si>
    <t>Local</t>
  </si>
  <si>
    <t>SCI</t>
  </si>
  <si>
    <t>INSTALACION DE SISTEMA DETECCION</t>
  </si>
  <si>
    <t>25-90-01 WH-Security office relocation and securty CCTV system</t>
  </si>
  <si>
    <t>Activo</t>
  </si>
  <si>
    <t>Presupuesto</t>
  </si>
  <si>
    <t>sg</t>
  </si>
  <si>
    <t>Estimado</t>
  </si>
  <si>
    <t>a</t>
  </si>
  <si>
    <t>Metalmecanica</t>
  </si>
  <si>
    <t>Estructura metalica</t>
  </si>
  <si>
    <t>CONSTRUCCION DE ESCALERA</t>
  </si>
  <si>
    <t>unidad</t>
  </si>
  <si>
    <t>TI</t>
  </si>
  <si>
    <t>PUNTO DE RED CENTRO DE MONITOREO</t>
  </si>
  <si>
    <t>HIKCENTRAL PROFESSIONAL SOFTWARE DE GESTIÓN DE SEGURIDAD</t>
  </si>
  <si>
    <t>Obra Civil</t>
  </si>
  <si>
    <t>Mueble</t>
  </si>
  <si>
    <t>FONDO PARA MONITORES CON ESTRUCTURA METALICA PARA SOPORTE DE RACK</t>
  </si>
  <si>
    <t>Electrica</t>
  </si>
  <si>
    <t>Instalaciones electricas</t>
  </si>
  <si>
    <t>INSTALACION ELCTRICAS. INCLUYE: ILUMINACION GENERAL, TOMACORRIENTES 110V, 220V, 110UPS</t>
  </si>
  <si>
    <t>INSTALACION DE RACKS JACK, CAJETINES, CABLE FTP Y TOMAS</t>
  </si>
  <si>
    <t>PANTALLAS DE MINITOREO DE 4K 55''</t>
  </si>
  <si>
    <t>Imprevistos</t>
  </si>
  <si>
    <t>IMPREVISTOS SEGURIDAD OBRA CIVIL</t>
  </si>
  <si>
    <t>IMPREVISTO TI SEGURIDAD</t>
  </si>
  <si>
    <t>Revestimiento</t>
  </si>
  <si>
    <t>REVESTIMIENTO INTERIOR DE PAREDES CON GYPSUM REGULAR</t>
  </si>
  <si>
    <t>m2</t>
  </si>
  <si>
    <t xml:space="preserve">MUEBLE CENTRAL </t>
  </si>
  <si>
    <t>Refrigeracion</t>
  </si>
  <si>
    <t>SUMINISTRO Y MONTAJE DE AIRE ACONDICIONADO DE 24000 BTU PUNTO DESAGUE</t>
  </si>
  <si>
    <t>INSTALACION Y CONFIGURACION DEL SISTEMA PUESTA EN MARCHA</t>
  </si>
  <si>
    <t>PUNTO DE RED PRINCIPAL ENTRE TRONCALES(FIBRA DE ANILLO)</t>
  </si>
  <si>
    <t>SWICHT H3C 24 PUERTO + SPF</t>
  </si>
  <si>
    <t>Piso Industrial</t>
  </si>
  <si>
    <t>SUMINISTRO E INSTALACION DE PISO FLOTANTE DE MADERA CALIDAD RH COLOR A ELEGI E=9MM</t>
  </si>
  <si>
    <t>Puestos de trabajo</t>
  </si>
  <si>
    <t>ESTACION DE TRABAJO PARA JEFE DE AREA</t>
  </si>
  <si>
    <t>MODIFICACION EN ESTRUCTURA DEL PARQUEADERO</t>
  </si>
  <si>
    <t>Tableros</t>
  </si>
  <si>
    <t>REUBICACION DE TABLEROS ELECTRICO EN NUEVO CUARTO</t>
  </si>
  <si>
    <t>TUMBADO DE PVC</t>
  </si>
  <si>
    <t>RACK DE PISO 48 UR 4 PARANTES</t>
  </si>
  <si>
    <t xml:space="preserve">VIDEO WALL </t>
  </si>
  <si>
    <t>Acabados</t>
  </si>
  <si>
    <t>EMPASTE Y PINTURA INTERIOR EN TODA EL AREA</t>
  </si>
  <si>
    <t>SERVICIO DE INSTALACION</t>
  </si>
  <si>
    <t>MODULO DE SFP PARA SWICH</t>
  </si>
  <si>
    <t>SUMINISTRO E INSTALACIONDE RASTRERAS</t>
  </si>
  <si>
    <t>ml</t>
  </si>
  <si>
    <t>CONSTRUCCIN DE OFICINAS PARA AREA DE CAMARAS</t>
  </si>
  <si>
    <t>25-90-02 WH-New entrance gate for rawfish at yard # 1</t>
  </si>
  <si>
    <t>Obra civil</t>
  </si>
  <si>
    <t>CONSTRUCCION DE GARITA PATIO 1</t>
  </si>
  <si>
    <t>Hidrosanitario</t>
  </si>
  <si>
    <t>CONSTRUCCION DE CANALES CON REJILLAS EN AC INOX. EN AREA DE LAVADO DE BALDES</t>
  </si>
  <si>
    <t>CONTRUCCION DE GARITA PATIO 2</t>
  </si>
  <si>
    <t>DESMONTAJE Y MONTAJE DE BALANZA PARA REPESAJE</t>
  </si>
  <si>
    <t>PORTON METALICO PARA INGRESO</t>
  </si>
  <si>
    <t>CONSTRUCCION DE MAMPARAS DE ACERO INOX. DE MEDIDAS 4X3m</t>
  </si>
  <si>
    <t>DEMOLICION DE PAREDES DE BLOQUE</t>
  </si>
  <si>
    <t>DESALOJO DE LAS DEMOLICIONES</t>
  </si>
  <si>
    <t>CONSTRUCCION DE CAJAS PARA ATRAPAR SOLIDOS</t>
  </si>
  <si>
    <t>ILUMINACION EN AREA DE LAVADO DE BALDES (40m2)</t>
  </si>
  <si>
    <t>DESMANTELACION DE ESTRUCTURA DE TECHADO DE COCHES</t>
  </si>
  <si>
    <t>PINTURA Y RESANES EN CIERRE PERIMETRAL</t>
  </si>
  <si>
    <t>DEMOLICION DE UNA PARTE DEL MURO DEL CUBETO DE BUNKER Y DEMOLICION DE ESCALERA</t>
  </si>
  <si>
    <t>CONSTRUCCION DE PORTICO PARA SOSTENER PARED CORTADA</t>
  </si>
  <si>
    <t>RESANES EN PISO</t>
  </si>
  <si>
    <t>PUNTOS DE RED NUEVA GARITA</t>
  </si>
  <si>
    <t>CONSTRUCCION DE DRENAJE SOTERRADO CON TUBERIA DE PVC D=6"</t>
  </si>
  <si>
    <t>COMPUTADOR</t>
  </si>
  <si>
    <t>RESANES EN PARED DE CERRAMIENTO</t>
  </si>
  <si>
    <t>Preliminares</t>
  </si>
  <si>
    <t>COLOCACION DE PLASTICO- Y LONAS  EN AREA A INTERVENIR</t>
  </si>
  <si>
    <t xml:space="preserve">AP6 SOPHOS </t>
  </si>
  <si>
    <t>DESMANTELACION DE REJAS METALICAS VARIAS</t>
  </si>
  <si>
    <t>IMPREVISTO TI ENTRADA GARITA NUEVA</t>
  </si>
  <si>
    <t>INSTALACIONES ELECTRICAS PARA BOMBA DE PRESION 220 TRIFASICA</t>
  </si>
  <si>
    <t>CONFINAMIENTO DE AREA PARA CONSTRUCCION DE GARITA</t>
  </si>
  <si>
    <t>PINTURA TRAFICO</t>
  </si>
  <si>
    <t>INSTALACIONES SANITARIAS PARA AREA DE LAVADO DE BALDES</t>
  </si>
  <si>
    <t>TELEFONO IP AVAYA</t>
  </si>
  <si>
    <t>REPICADO DE HORMIGON DE VEREDA.</t>
  </si>
  <si>
    <t>Cimentacion &amp; Extructura</t>
  </si>
  <si>
    <t>ESTRUCTURA METALICA PARA MEZANINA (COLUMNAS Y VIGAS)</t>
  </si>
  <si>
    <t>25-90-03 WH-Administration area expansion</t>
  </si>
  <si>
    <t>kg</t>
  </si>
  <si>
    <t>IMPREVISTO</t>
  </si>
  <si>
    <t>INSTALACIONES ELECTRICAS PARA OFICINAS. INCLUYE: ILUMINACION GENERAL, TOMACORRIENTES 110V, 220V Y DATOS</t>
  </si>
  <si>
    <t>PUNTOS DE RED AREA DE EXPANSIÓN</t>
  </si>
  <si>
    <t xml:space="preserve">BANCO DE BTERIAS </t>
  </si>
  <si>
    <t>IMPREVISTOS EXPANSION ADMINISTRATIVO CIVIL</t>
  </si>
  <si>
    <t>REVESTIMIENTO DE PISO CON CERAMICA NACIONAL 60X60CM</t>
  </si>
  <si>
    <t>ESTRUCTURA METALICA PARA CUBIERTA</t>
  </si>
  <si>
    <t>HORMIGON PREMEZCLADO FC=210KG/CM2 EN CIMENTACION. (INCLUYE ENCOFRADO)</t>
  </si>
  <si>
    <t>m3</t>
  </si>
  <si>
    <t xml:space="preserve">LINEA DE FASES INDEPENDIENTE </t>
  </si>
  <si>
    <t>CONSTRUCCION DE ESCALERA DE 3,80m DE ANCHO. INC PASAMANOS EN ACERO INOXIDABLE</t>
  </si>
  <si>
    <t>HORMIGON PREMEZCLADO FC=210KG/CM2 EN LOSA . INC ENCOFRADO METALICO</t>
  </si>
  <si>
    <t>Aluminio &amp; Vidrio</t>
  </si>
  <si>
    <t>PANEL DE ALUMINIO EN FACHADA</t>
  </si>
  <si>
    <t>UPS PARA SERVERS</t>
  </si>
  <si>
    <t xml:space="preserve">PUERTA ELECTRONICA DE SERVIDORES </t>
  </si>
  <si>
    <t>Cerramiento</t>
  </si>
  <si>
    <t>ENLUCIDO VERTICAL EN PAREDES DE BLOQUE</t>
  </si>
  <si>
    <t>PISO FALSO ANTIESTATICA</t>
  </si>
  <si>
    <t>CONSTRUCCION DE PAREDES EN BLOQUE</t>
  </si>
  <si>
    <t>DECK PARA LOSA</t>
  </si>
  <si>
    <t>AIRE CASETTE DE 60000BTU</t>
  </si>
  <si>
    <t>TV DE 55"</t>
  </si>
  <si>
    <t>IMPERMEABILIZACION EN LOSA DE EQUIPOS DE REFRIGERACION CON POLIUREA</t>
  </si>
  <si>
    <t>ESTACION DE TRABAJO CO-WORKING EN MELAMINA DE 36MM</t>
  </si>
  <si>
    <t xml:space="preserve"> A.A DE 12.000 BTU/h  GERENCIAS Y SALA DE REUNIÓN</t>
  </si>
  <si>
    <t>REVESTIMIENTO DE PAREDES DE BAÑOS CON CERAMICA NACIONAL</t>
  </si>
  <si>
    <t>MALLA ELECTROSOLDADA EN LOSA</t>
  </si>
  <si>
    <t>CONSTRUCCION DE TABIQUES EN GYPSUM</t>
  </si>
  <si>
    <t>SUMINISTRO E INSTALACION DE TABIQUES EN GERENCIAS CON VIDRIO TEMPLADO</t>
  </si>
  <si>
    <t>REVESTIMIENTO DE MESONES DE CAFETERIA Y BAÑOS CON NANO GLASS</t>
  </si>
  <si>
    <t>SOPHOS AP WIFI 6</t>
  </si>
  <si>
    <t>RELLENO COMPACTADO PARA ASIENTO DE FUNDACIONES</t>
  </si>
  <si>
    <t>Silla</t>
  </si>
  <si>
    <t>SILLAS PARA SALAS DE REUNIONES</t>
  </si>
  <si>
    <t>SWICHT H3C 24 PUERTO</t>
  </si>
  <si>
    <t>COLOCACION DE TUMBADO DE PVC Y GYPSUM CON DISEÑO EN OFICINAS</t>
  </si>
  <si>
    <t>ACERO DE REFUERZO FY=4,200 KG/CM², EN FUNDACIONES</t>
  </si>
  <si>
    <t>SILLA EJECUTIVA IMPORTADA ESPALDAR DE MALLA PARA GERENCIAS</t>
  </si>
  <si>
    <t>SUMINISTRO E INSTALACION DE PUERTAS EN GERENCIAS CON VIDRIO TEMPLADO</t>
  </si>
  <si>
    <t>SUMINISTRO E INSTALACION DE CUBIERTA EN DIPANEL 0,40mm</t>
  </si>
  <si>
    <t>MULTITOMA HORIZONTAL DE 8 PARA RACK</t>
  </si>
  <si>
    <t>Mesa</t>
  </si>
  <si>
    <t>MESA DE REUNION CUADRADA DE 20 PERSONAS EN MELAMINA DE 36MM</t>
  </si>
  <si>
    <t>FABRICACION DE MUEBLE PARA CAFETERIA</t>
  </si>
  <si>
    <t xml:space="preserve">AIRES ACONDICIONADO </t>
  </si>
  <si>
    <t>S/COLOCACION DE POSTES METALICOS DE 100X100X3MM</t>
  </si>
  <si>
    <t>TUBERÍA DE COBRE 1/2 -1/4 ,AISLAMIENTO, INCLUYE CABLE DE CONTROL</t>
  </si>
  <si>
    <t>PINTURA INTERIOR EN PAREDES DE OFICINA</t>
  </si>
  <si>
    <t>PINTURA EXTERIOR ELASTOMERICA EN PAREDES DE BLOQUE</t>
  </si>
  <si>
    <t>EXCAVACION CON MAQUINARIA PARA CIMIENTOS</t>
  </si>
  <si>
    <t>DEMOLICION DE PAVIMENTO Y CUBETO DE ACEITE CON MAQUINA Y PUNTA</t>
  </si>
  <si>
    <t>MESA DE REUNION CUADRADA DE 8 PERSONAS EN MELAMINA DE 36MM</t>
  </si>
  <si>
    <t>S/T/COLOCACION DE MOSAICOS O ELEMENTOS DECORATIVOS EN BAÑOS</t>
  </si>
  <si>
    <t>CERRAMIENTO SUPERIOR CON LAMINAS METALICAS DIPANEL</t>
  </si>
  <si>
    <t>SUMINISTRO E INSTALACION DE RASTRERAS</t>
  </si>
  <si>
    <t>ACARREO DE LAS DEMOLICIONES</t>
  </si>
  <si>
    <t>ACERO DE REFUERZO FY=4,200 KG/CM², EN MURO EXTERIOR</t>
  </si>
  <si>
    <t>CONEXIÓN A RED DE AGUAS DE LLUVIA</t>
  </si>
  <si>
    <t>COLOCACIÓN DE PLÁSTICO- Y LONAS  EN ÁREA A INTERVENIR</t>
  </si>
  <si>
    <t>HORMIGON PREMEZCLADO FC=210KG/CM2 EN MURO N+54.00cm</t>
  </si>
  <si>
    <t>MONTAJE DE CANAL DE AGUAS DE LLUVIAS</t>
  </si>
  <si>
    <t>EMPASTE INTERIOR EN PAREDES DE GYPSUM DE OFICINA</t>
  </si>
  <si>
    <t>DESMONTAJE LIMPIEZA Y COLOCACION DE INODOROS</t>
  </si>
  <si>
    <t>pza</t>
  </si>
  <si>
    <t>SUMINISTRO Y COLOCACION DE VENTANAS EN ALUMINIO Y VIDRIO FIJO Y CORREDIZA</t>
  </si>
  <si>
    <t>ESTACION GERENCIAL ZITRO EN L 1.2X1.65X0.6M EN MELAMINA DE 36MM</t>
  </si>
  <si>
    <t>PUNTO DE AGUA FRIA DIAMETRO D=1/2"</t>
  </si>
  <si>
    <t>pto</t>
  </si>
  <si>
    <t>HORMIGON PREMEZCLADO PARA RELLENO DE COLUMNAS</t>
  </si>
  <si>
    <t>DESMONTAJE Y COLOCACION DE LAVAMANOS EN BAÑOS</t>
  </si>
  <si>
    <t>KVM RACKEABLE 1U CON MONITOR/TECLADO</t>
  </si>
  <si>
    <t>DESMONTAJE Y MONTAJE DE GRIFERIA EN LAVAMANOS DE BAÑOS</t>
  </si>
  <si>
    <t>COLOCACION DE TUBERIA DE PVC 110MM PARA DESAGUE</t>
  </si>
  <si>
    <t>EMPASTE EXTERIOR EN PAREDES DE BLOQUE</t>
  </si>
  <si>
    <t xml:space="preserve">DESMONTAJE E INSTALACION DE AA DESDE 12.000 - 18.000 BTU </t>
  </si>
  <si>
    <t>COLOCACION DE TUBERIA ROSCADA DE DIAMETRO D=1/2"</t>
  </si>
  <si>
    <t>SILLA DE USUARIOS COWORKING Y VISITAS DE GERENCIAS</t>
  </si>
  <si>
    <t>ENCOFRADO DE MADERA EN MURO EXTERIOR</t>
  </si>
  <si>
    <t>DESMANTELACION DE INSTALACIONES ELÉCTRICAS Y SANITARIAS</t>
  </si>
  <si>
    <t>MESA DE REUNION REDONDA DE 4 PERSONAS EN MELAMINA DE 36MM</t>
  </si>
  <si>
    <t>DESALOJO FUERA DEL SITIO DE LAS DEMOLICIONES</t>
  </si>
  <si>
    <t>ACERO DE REFUERZO FY=4,200 KG/CM², EN LOSA</t>
  </si>
  <si>
    <t>CORTE CON EQUIPO OXICORTE EN ELEMENTOS ARMADOS DE PAVIMENTO</t>
  </si>
  <si>
    <t>CORTE DE PAVIMIENTO CON MAQUINA DE CORTE</t>
  </si>
  <si>
    <t>CORTE DE VARILLAS DE ACERO CON HERRAMIENTAS ELÉCTRICAS</t>
  </si>
  <si>
    <t>BAJANTES PARA AGUAS DE LLUVIA</t>
  </si>
  <si>
    <t>COLOCACION DE TUBERIA DE PVC 50MM PARA DESAGUE</t>
  </si>
  <si>
    <t>SUMINISTRO Y COLOCACION DE LLAVE DE PASO 1/2"</t>
  </si>
  <si>
    <t>DEMOLICION DE TABIQUES DE GYPSUM</t>
  </si>
  <si>
    <t>PUNTO DE AGUAS SERVIDAS 50MM</t>
  </si>
  <si>
    <t>PUNTO DE AGUAS NEGRAS 110MM</t>
  </si>
  <si>
    <t>SUMINISTRO Y COLOCACION DE FREGADERO EN CAFETERIA</t>
  </si>
  <si>
    <t>DESMANTELACION DE ESCRITORIOS EN OFICINAS ACTUALES</t>
  </si>
  <si>
    <t xml:space="preserve">SUMINISTRO Y COLOCACION DE GRIFERIA EN LAVAMANOS </t>
  </si>
  <si>
    <t>EMPASTE INTERIOR EN PAREDES DE BLOQUE EN OFICINA</t>
  </si>
  <si>
    <t>SUMINISTRO Y COLOCACION DE LAVAMANOS EN BAÑOS</t>
  </si>
  <si>
    <t>SUMINISTRO Y COLOCACION DE GRIFERIA EN CAFETERIA DE SALA DE SESIONES</t>
  </si>
  <si>
    <t>DESMONTAJE LIMPIEZA Y COLOCACION DE URINARIO</t>
  </si>
  <si>
    <t>Cimentacion &amp; Estrcutura</t>
  </si>
  <si>
    <t>ESTRUCTURA METALICA PARA NAVE (COLUMNAS Y VIGAS)</t>
  </si>
  <si>
    <t>25-90-04 WH-Labeling area expansion</t>
  </si>
  <si>
    <t>Mecanica</t>
  </si>
  <si>
    <t>REUBICACION DE EQUIPOS ETIQUETADORAS</t>
  </si>
  <si>
    <t>Equipos</t>
  </si>
  <si>
    <t>MODIFICACION DE LINEA DE ETIQUETADORAS</t>
  </si>
  <si>
    <t>Equipos proces</t>
  </si>
  <si>
    <t>Seguridad fisica</t>
  </si>
  <si>
    <t>CAMARAS DE VIGILANCIA</t>
  </si>
  <si>
    <t>Seguridad Industrial</t>
  </si>
  <si>
    <t>INSTALACION DE EXTRACTORES E INYECTORES</t>
  </si>
  <si>
    <t>HORMIGON PREMEZCLADO FC=210KG/CM2 EN LOSA DE ENTREPISO e=18cm</t>
  </si>
  <si>
    <t>HORMIGON PREMEZCLADO FC=210KG/CM2 EN CIMENTACION INCLUYE CONTRAPISO</t>
  </si>
  <si>
    <t>ACOMETIDA NUEVA PARA UBICACIÓN NUEVA DE EQUPOS</t>
  </si>
  <si>
    <t>REPICADO DE PISO PARA ADHERENCIA DE HORMIGON NUEVO</t>
  </si>
  <si>
    <t>CONSTRUCCION DE PAREDES DE BLOQUE</t>
  </si>
  <si>
    <t>INSTALACIONES ELECTRICAS S. INCLUYE: ILUMINACION GENERAL, TOMACORRIENTES 110V, 220V Y DATOS</t>
  </si>
  <si>
    <t>RELLENO COMPACTADO CON MATERIAL DE MEJORAMIENTO</t>
  </si>
  <si>
    <t>DEMOLICION DE ESTRUCTURA EXISTENTE. (finanzas y trimarine)</t>
  </si>
  <si>
    <t>MALLA ESLECTROSOLDADA 8mm 10x10cm</t>
  </si>
  <si>
    <t>PINTURA ELASTOMERICA EN EXTERIOR</t>
  </si>
  <si>
    <t>IMPREVISTOS EXPANSION ETIQUETADO CIVIL</t>
  </si>
  <si>
    <t>FABRICACION E INSTALACION DE PORTON PARA INGRESO</t>
  </si>
  <si>
    <t>PINTURA ESMALTE EN INTERIOR</t>
  </si>
  <si>
    <t>CERRAMIENTO SUPERIOR CON MALLAS ENMARCADAS EN ALUMINIO</t>
  </si>
  <si>
    <t>PUNTOS DE RED - REUNICACION DE OFICINA</t>
  </si>
  <si>
    <t>INSTALACION LINEA DE VIDA</t>
  </si>
  <si>
    <t>CONSTRUCCION DE RAMPA TEMPORAL</t>
  </si>
  <si>
    <t>IMPREVISTO TI</t>
  </si>
  <si>
    <t>EXCAVACION DE TIERRA A MAQUINA</t>
  </si>
  <si>
    <t>DESALOJO FUERA DEL SITIO DE LAS EXCAVACIONES</t>
  </si>
  <si>
    <t>CONFINAMIENTO DEL AREA A INTERVENIR</t>
  </si>
  <si>
    <t>Logistica</t>
  </si>
  <si>
    <t>Material</t>
  </si>
  <si>
    <t>MATERIALES DE EMPAQUE</t>
  </si>
  <si>
    <t>ENVOLVEDORA SEMIAUTOMATICA</t>
  </si>
  <si>
    <t xml:space="preserve">LAVAOJOS </t>
  </si>
  <si>
    <t>25-90-05 WH-Depaletising facilities relocation</t>
  </si>
  <si>
    <t>Montacargas</t>
  </si>
  <si>
    <t>MONTACARGAS ELECTRICO</t>
  </si>
  <si>
    <t>CONSTRUCCION DE EQUIPOS DESPALETIZADORES</t>
  </si>
  <si>
    <t>HORMIGON PREMEZCLADO FC=210KG/CM2 EN CIMENTACION INCLUYE CONTRAPISO e=20cm</t>
  </si>
  <si>
    <t>ESTRUCTURA METALICA PARA CUBIERTA (VER PLANOS)</t>
  </si>
  <si>
    <t>DESMONTAJE Y MONTAJE DE DESPALETIZADOR</t>
  </si>
  <si>
    <t>SISTEMA DE TRANSPORTADORES RECTOS Y AEREOS PARA LATA</t>
  </si>
  <si>
    <t>BATERIAS ADICIONAL PARA MONTACARGAS</t>
  </si>
  <si>
    <t>Hombre a bordo</t>
  </si>
  <si>
    <t>HOMBRE A BORDO</t>
  </si>
  <si>
    <t>CONSTRUCCION DE PURTAS DE ACCESO</t>
  </si>
  <si>
    <t>INSTALACION DE CAMARAS VIGILANCIA</t>
  </si>
  <si>
    <t>HORMIGON PREMEZCLADO FC=240KG/CM2 EN LOSA DE ENTREPISO e=12cm N=+6,02m</t>
  </si>
  <si>
    <t>MONTAJE DE EQUIPOS DESPALETIZADORES</t>
  </si>
  <si>
    <t xml:space="preserve">CONSTRUCCION DE PAREDES DE BLOQUE </t>
  </si>
  <si>
    <t>DECK PARA LOSA e=0,76mm</t>
  </si>
  <si>
    <t xml:space="preserve">RELLENO COMPACTADO CON MATERIAL DE MEJORAMIENTO </t>
  </si>
  <si>
    <t>CONSTRUCCION AREA DE CARGA PARA BATERIAS</t>
  </si>
  <si>
    <t>IMPREVISTOS DESPELTIZADO CIVIL</t>
  </si>
  <si>
    <t xml:space="preserve">MALLA ELECTROSOLDADA 6mm 10x10cm EN DECK </t>
  </si>
  <si>
    <t>FABRICACION E INSTALACION DE PORTONES PARA INGRESO (VER 3D)</t>
  </si>
  <si>
    <t>DEMOLICION DE ESTRUCTURA EXISTENTE. Incluye desalojos</t>
  </si>
  <si>
    <t xml:space="preserve">EXCAVACION DE TIERRA A MAQUINA </t>
  </si>
  <si>
    <t>IMPREVISTOS TI</t>
  </si>
  <si>
    <t>INSTALACIONES PARA BAÑOS</t>
  </si>
  <si>
    <t>HORMIGON PREMEZCLADO FC=240KG/CM2 EN CIMENTACION (PEDESTALES)</t>
  </si>
  <si>
    <t xml:space="preserve">INSTALACIONES PARA DRENAJES </t>
  </si>
  <si>
    <t>BAJANTES PARA AGUAS DE LLUVIA D=6". INC. SOPORTES METALICOS</t>
  </si>
  <si>
    <t xml:space="preserve">PINTURA ESMALTE EN EXTERIOR </t>
  </si>
  <si>
    <t>CONEXIÓN PRINCIPAL FIBRA</t>
  </si>
  <si>
    <t>CONSTRUCCION DE GRADA PARA CONECTAR CON MARMITAS</t>
  </si>
  <si>
    <t>SWICTH 24 PUERTOS</t>
  </si>
  <si>
    <t>SUMINISTRO Y COLOCACION DE INODORO ECOLOGICO</t>
  </si>
  <si>
    <t>SUMINISTRO Y COLOCACION DE LAVAMANOS. INC GRIFERIA</t>
  </si>
  <si>
    <t>MESON PARA LAVAMANOS REVESTIDO CON GRANITO</t>
  </si>
  <si>
    <t>IMPRESORA</t>
  </si>
  <si>
    <t>SUMINISTRO Y COLOCACION DE TUMBADO DE PVC EN BAÑOS</t>
  </si>
  <si>
    <t>25-90-06 WH-HR &amp; Cafeteria facilities relocation</t>
  </si>
  <si>
    <t>REUBICACION DE EQUIPOS DE COMEDOR</t>
  </si>
  <si>
    <t>PUNTOS DE RED</t>
  </si>
  <si>
    <t>HORMIGON PREMEZCLADO FC=210KG/CM2 EN CIMENTACION. (INCLUYE CONTRAPISO e=12cm)</t>
  </si>
  <si>
    <t>REUBICACION DEL ANILLO DE FIBRA</t>
  </si>
  <si>
    <t xml:space="preserve">ESTRUCTURA METALICA PARA CUBIERTA </t>
  </si>
  <si>
    <t>EQUIPOS FRIGORIFICOS PARA ALIMENTOS</t>
  </si>
  <si>
    <t>IMPREVISTOS CAFETERIA CIVIL</t>
  </si>
  <si>
    <t>ESTRUCTURA METALICA PARA PUENTE</t>
  </si>
  <si>
    <t>Puertas</t>
  </si>
  <si>
    <t>PUERTAS DE INOXIDABLE EN COCINA</t>
  </si>
  <si>
    <t>COLOCACION DE TUMBADO DE PVC COLOR BLANCO EN COMEDOR</t>
  </si>
  <si>
    <t>INSTALACIONES ELECTRICAS . INCLUYE: ILUMINACION GENERAL, TOMACORRIENTES 110V, 220V Y DATOS</t>
  </si>
  <si>
    <t>COLOCACION DE TUMBADO DE PVC Y GYPSUM CON DISEÑO EN OFICINAS RRHH</t>
  </si>
  <si>
    <t>DESMONTAJE DE ESTRUCTURA METALICA</t>
  </si>
  <si>
    <t>EQUIPO LAVADOR DE PLATOS</t>
  </si>
  <si>
    <t>Seguridad</t>
  </si>
  <si>
    <t>CAMARAS DE SEGURIDAD</t>
  </si>
  <si>
    <t xml:space="preserve"> A.A DE 12.000 BTU/h  GERENCIAS Y SALAS JR.</t>
  </si>
  <si>
    <t>ELECTROCANAL LINEA RECTA</t>
  </si>
  <si>
    <t>mt</t>
  </si>
  <si>
    <t>SUMINISTRO E INSTALACION DE PUERTAS  EN VIDRIO TEMPLADO</t>
  </si>
  <si>
    <t>ESTACION LAVADO DE BANDEJAS</t>
  </si>
  <si>
    <t>PINTURA INTERIOR CON POLIAMIDAS (COMEDOR, ALACENA, LAVADO DE VAJILLAS)</t>
  </si>
  <si>
    <t xml:space="preserve">HORMIGON PREMEZCLADO PARA RELLENO DE COLUMNAS </t>
  </si>
  <si>
    <t xml:space="preserve">SILLA DE SALA DE REUNIONES Y VISITAS </t>
  </si>
  <si>
    <t>ADQUISICON DE PERCHAS PARA PRODUCTOS</t>
  </si>
  <si>
    <t>DEMOLICION DE PAVIMENTO CON PUNTA</t>
  </si>
  <si>
    <t>REVESTIMIENTO DE PAREDES DE COCINA CON CERAMICA NACIONAL(COCINA, BVAJILL, DESP)</t>
  </si>
  <si>
    <t xml:space="preserve">CORTE DE PAVIMIENTO CON MAQUINA DE CORTE </t>
  </si>
  <si>
    <t xml:space="preserve">S/COLOCACION DE POSTES METALICOS DE 100X100X3MM </t>
  </si>
  <si>
    <t>SWICHT 24 PUERTOS</t>
  </si>
  <si>
    <t xml:space="preserve">DESALOJO FUERA DEL SITIO DE LAS DEMOLICIONES </t>
  </si>
  <si>
    <t xml:space="preserve">EXCAVACION CON MAQUINARIA PARA CIMIENTOS </t>
  </si>
  <si>
    <t xml:space="preserve">PROYECTOR </t>
  </si>
  <si>
    <t>EMPASTE Y PINTURA INTERIOR (TRABAJO SOCIAL, EMERGENCIA,SUP PACKING, CALIDAD)</t>
  </si>
  <si>
    <t>SUMINISTRO E INSTALACION DE PUERTAS  EN VIDRIO TEMPLADO DOBLES</t>
  </si>
  <si>
    <t xml:space="preserve">COLOCACION DE PLASTICO- Y LONAS  EN AREA A INTERVENIR </t>
  </si>
  <si>
    <t xml:space="preserve">CONEXIÓN A RED DE AGUS DE LLUVIA INC REPOSICION DE HORMIGON </t>
  </si>
  <si>
    <t>S/T/COLOCACION DE FREGADERO EN COCINA</t>
  </si>
  <si>
    <t xml:space="preserve"> A.A DE 18.000 BTU/h  EN SALA DE REUNIONES</t>
  </si>
  <si>
    <t xml:space="preserve">CERRAMIENTO SUPERIOR CON LAMINAS METALICAS </t>
  </si>
  <si>
    <t xml:space="preserve">EMPASTE INTERIOR EN PAREDES DE BLOQUE </t>
  </si>
  <si>
    <t>GRIFERIA EN FREGADEROS</t>
  </si>
  <si>
    <t>DESMONTAJE DE CUBIERTA METALICA</t>
  </si>
  <si>
    <t>PUERTAS DE MELAMINA EN ARCHIVO</t>
  </si>
  <si>
    <t>ESTRUCTURA METALICA PARA NAVE INDUSTRIAL (VIGAS Y COLUMNAS)</t>
  </si>
  <si>
    <t>25-90-07 WH-Finished goods Warehouse (step 1)</t>
  </si>
  <si>
    <t>HORMIGON PREMEZCLADO FC=210KG/CM2 EN LOSA PISO</t>
  </si>
  <si>
    <t>HORMIGON PREMEZCLADO FC=210KG/CM2 EN MUROS PARA ANDENES. (INCLUYE ENCOFRADO)</t>
  </si>
  <si>
    <t>Extractor</t>
  </si>
  <si>
    <t>INSTALACION DE EXTINCION</t>
  </si>
  <si>
    <t>Anden de carga</t>
  </si>
  <si>
    <t>PUERTAS PARA ANDEN DE CARGAS</t>
  </si>
  <si>
    <t>HORMIGON PREMEZCLADO FC=350KG/CM2 EN PISO PARA ANDENES.</t>
  </si>
  <si>
    <t>CONSTRUCCION DE PAREDES EN BLOQUE h=6m. EN PERIMETRO DE BODEGA</t>
  </si>
  <si>
    <t>CONSTRUCCION DE PANTALLA CON LAMINAS DE IPATECHO e=0,40mm</t>
  </si>
  <si>
    <t>MALLA ELECTROLODADA 8mm</t>
  </si>
  <si>
    <t>SUMINISTRO E INSTALACION DE CUBIERTA EN DIPANEL e=0,40mm</t>
  </si>
  <si>
    <t>INSTALACIONES ELECTRICAS EN GENERAL. INCLUYE ILUMINACION Y PUNTOS PARA 4 PUESTOS DE TRABAJO. NO INCLUYE ACOMETIDA:</t>
  </si>
  <si>
    <t>PLATAFORMA HIDRAULICA NIVELADORA PARA MUELLE DE CARGA</t>
  </si>
  <si>
    <t>Camaras de vigilancia</t>
  </si>
  <si>
    <t xml:space="preserve">INSTALACION DE CAMARAS </t>
  </si>
  <si>
    <t>REUBICACION DE ANILLO DE FIBRA</t>
  </si>
  <si>
    <t>S/T/COLOCACION DE LAMPARA UFO MARCA SYLVANIA DE 200W</t>
  </si>
  <si>
    <t>HORMIGON PREMEZCLADO FC=210KG/CM2 EN COLUMNAS (INCLUYE ENCOFRADO)</t>
  </si>
  <si>
    <t>PINTURA ELASTOMERICA EXTERIOR EN PAREDES DE BLOQUE</t>
  </si>
  <si>
    <t>RELLENO CON MATERIAL DE MEJORAMIENTO EN CONTRAPISO (LASTRE)</t>
  </si>
  <si>
    <t>DEMOLICION CON MAQUINA DE EDIFICACIONES: OFICINAS  BAÑOS  COMEDOR  BODEGAS</t>
  </si>
  <si>
    <t xml:space="preserve">DEMOLICIONES A MANO </t>
  </si>
  <si>
    <t>ACERO DE REFUERZO FY=4,200 KG/CM², EN MURO DE ANDENES</t>
  </si>
  <si>
    <t>CONSTRUCCION DE OFICINA PARA 4 PERSONAS</t>
  </si>
  <si>
    <t xml:space="preserve">RELLENO CON MATERIAL DE MEJORAMIENTO EN FUNDACIONES SUB BASE </t>
  </si>
  <si>
    <t>COLOCACION DE CONFINAMIENTO  EN AREA A INTERVENIR H=3m</t>
  </si>
  <si>
    <t>MONTAJE DE CANAL DE AGUAS DE LLUVIAS GALVANIZADO</t>
  </si>
  <si>
    <t>DESALOJO DE LAS EXCAVACIONES  FUERA DEL SITIO</t>
  </si>
  <si>
    <t>RELLENO COMPACTADO CON PIEDRA BOLA PARA ASIENTO DE FUNDACIONES</t>
  </si>
  <si>
    <t>EXCAVACION CON MAQUINA DE LAS DEMOLICIONES</t>
  </si>
  <si>
    <t>DEMOLICION CON  RETROEXCAVADORA DE PUNTA PARA  PISOS  PLINTOS  Y CADENAS</t>
  </si>
  <si>
    <t>CORTE CON EQUIPO OXICORTE EN ELEMENTOS DE ESTRUCTURAS METALICAS</t>
  </si>
  <si>
    <t>DESMANTELACIONES REFERENTES A OBRA CIVIL. EXCLUYE: DESMONTAJE DE LINEAS INDUSTRIALES, DESMONTAJE DE TUBERIAS CONTRA INCENDIO, CANALETAS DE DATOS, EQUIPOS DE INYECCION DE AIRE.</t>
  </si>
  <si>
    <t>EXCAVACION DE TIERRA CON MAQUINA</t>
  </si>
  <si>
    <t>SUMINISTRO Y COLOCACION DE TABLERO PARA LUMINARIAS</t>
  </si>
  <si>
    <t xml:space="preserve">AP6 420X SOPHOS </t>
  </si>
  <si>
    <t xml:space="preserve">CORTE DE PAVIMENTO CON MAQUINA DE DISCO </t>
  </si>
  <si>
    <t>INSTALACIONES ELECTRICAS PARA PUESTOS DE TRABAJO 110v</t>
  </si>
  <si>
    <t>MONTACARGAS ETV 216</t>
  </si>
  <si>
    <t>25-90-08 WH-Finished goods Warehouse (step 2)</t>
  </si>
  <si>
    <t xml:space="preserve">MONTACARGAS EFG 216 </t>
  </si>
  <si>
    <t>BATERIA ADICIONAL DE LITIO</t>
  </si>
  <si>
    <t>Racks</t>
  </si>
  <si>
    <t>FRAME EF140*110*2.75T/10300H/1150D(POST: Q355B,
50P;DOUBLE BASE PLATE)</t>
  </si>
  <si>
    <t>DI PALLET RAIL 110°/2.5 6900MML</t>
  </si>
  <si>
    <t>FRAME N925/9250H/1100D(Q355B, 50P, NO SIDE HOLE)</t>
  </si>
  <si>
    <t>INSTALACIÓN DE ESTANTERÍA SELECTIVO + DRIVE IN (1POS.)</t>
  </si>
  <si>
    <t>BOX BEAM B125X50X1.5/2500CE (5 LUGSN90/50P)@2800
KGU.D.L.(WITH WELDING PLATE)</t>
  </si>
  <si>
    <t>FRAME EF140*110*2.75T/10300H/1150D(Q355B, 50P)</t>
  </si>
  <si>
    <t>FRAME N925/9250H1100D(Q355B, 50P, NO SIDE HOLE)</t>
  </si>
  <si>
    <t>BOX BEAM B125X50X1.5/2500CE (5 LUGSN90/50P)@2800
KGU.D.L.</t>
  </si>
  <si>
    <t>SUPPORT ARM/DOUBLE</t>
  </si>
  <si>
    <t>DI PALLET RAIL 110°/2.5 4600MML</t>
  </si>
  <si>
    <t>DI PALLET RAIL 110°/2.5 3450MML</t>
  </si>
  <si>
    <t>POST EF140*110*2.75T/10300H</t>
  </si>
  <si>
    <t>BACK CROSS BRACING   Φ42 X2.0MM(OF 2 BAYS,TOTAL 5 LEVELS X-
CROSS BRACES)</t>
  </si>
  <si>
    <t>DOUBLE POST EF140*110*2.0T/2000MMH(POST: Q355B, 50P)</t>
  </si>
  <si>
    <t>FLOOR GUIDE RAIL C200X60X2.5MM/7250L</t>
  </si>
  <si>
    <t>DOUBLE POST CONNECTOR FOR EF140*110 (WITH BOLTS AND NUTS)</t>
  </si>
  <si>
    <t>HILTI  CHEMIAL BOLTS M12X160  4PC/POST  (DOUBLE BASE PLATE)</t>
  </si>
  <si>
    <t>PORTAL BEAM 1400CE/C83</t>
  </si>
  <si>
    <t>H CROSS BRACING BETWEEN BEAMS AND ACCESSORIES Φ32 X1.5MM
(OF  2 BAY,5 LEVELS)</t>
  </si>
  <si>
    <t>FLOOR GUIDE RAIL C200X60X2.5MM/4950L</t>
  </si>
  <si>
    <t>FLOOR GUIDE RAIL C200X60X2.5MM/3800L</t>
  </si>
  <si>
    <t>HORIZONTAL BRACE 1400MML</t>
  </si>
  <si>
    <t>HORIZONTAL BRACE CONNECTOR</t>
  </si>
  <si>
    <t>STAND-OFF SPACER 1150L</t>
  </si>
  <si>
    <t>HILTI  CHEMIAL BOLTS M12X160  2PC/POST</t>
  </si>
  <si>
    <t>GUARD POST 1200MMH</t>
  </si>
  <si>
    <t>H.BRACING 1755L/30WX4MM T</t>
  </si>
  <si>
    <t>DI PALLET RAIL 110°/2.5 5750MML</t>
  </si>
  <si>
    <t>SUPPORT ARM/SINGLE</t>
  </si>
  <si>
    <t>SHIM T=3MM FOR EF140 POST (DOUBLE BASE PLATE)</t>
  </si>
  <si>
    <t>BACK BRACING 1588L</t>
  </si>
  <si>
    <t>H.BRACING 1702L/30WX4MM T</t>
  </si>
  <si>
    <t>RAIL STOPPER BRACKET</t>
  </si>
  <si>
    <t>SHIM T=2MM FOR EF140 POST (DOUBLE BASE PLATE)</t>
  </si>
  <si>
    <t>OVERHEAD BRACING 1811MML</t>
  </si>
  <si>
    <t>FLOOR GUIDE RAIL C200X60X2.5MM/6100L</t>
  </si>
  <si>
    <t>ROW SPACER 1150L</t>
  </si>
  <si>
    <t>OVERHEAD BRACING 1932MML</t>
  </si>
  <si>
    <t>SHIM T=1MM FOR EF140 POST (DOUBLE BASE PLATE)</t>
  </si>
  <si>
    <t>SHIM 180X125X3 FOR N90 POST</t>
  </si>
  <si>
    <t>SHIM 180X125X2 FOR N90 POST</t>
  </si>
  <si>
    <t>OVERHEAD BRACING 1870MML</t>
  </si>
  <si>
    <t>SHIM T=3MM FOR EF140 POST</t>
  </si>
  <si>
    <t>FLOOR FIXING M12X100</t>
  </si>
  <si>
    <t>SHIM 180X125X1 FOR N90 POST</t>
  </si>
  <si>
    <t>STOPPER BRACKET</t>
  </si>
  <si>
    <t>SHIM T=2MM FOR EF140 POST</t>
  </si>
  <si>
    <t>ROW SPACER 200L</t>
  </si>
  <si>
    <t>BACK BRACING 1644L</t>
  </si>
  <si>
    <t>SHIM T=1MM FOR EF140 POST</t>
  </si>
  <si>
    <t>INSTALACIÓN DE ARRIOSTRADO (27 POS.)</t>
  </si>
  <si>
    <t>INSTALACIÓN RIELES DE PISO (81 POS.)</t>
  </si>
  <si>
    <t>INSTALACIÓN PROTECTOR COLUMNA (81 POS.)</t>
  </si>
  <si>
    <t>ADQUISICON DE TANQUES PARA SALA DE PRODUCTO</t>
  </si>
  <si>
    <t xml:space="preserve">25-90-09 Cold Storage Chamber </t>
  </si>
  <si>
    <t>PANEL AISLANTE DE POLIURETANO  DE e=16cm EN PAREDES DE CAMARA Y PRECAMARA</t>
  </si>
  <si>
    <t>Importacion</t>
  </si>
  <si>
    <t>Generacion</t>
  </si>
  <si>
    <t>SUMINISTRO DE GENERADOR 725 KVA</t>
  </si>
  <si>
    <t>EVAPORADORES EVAPCO</t>
  </si>
  <si>
    <t>MONTAJE ELECTRICO MECANICO</t>
  </si>
  <si>
    <t>UNIDAD COMPRESORA N160VLD-TS CON MOTOR DE 200HP, ARRANCADOR SUAVE</t>
  </si>
  <si>
    <t xml:space="preserve">PISO EPOXICO PARA CAMARAS DE FRIO </t>
  </si>
  <si>
    <t xml:space="preserve">HORMIGON PREMEZCLADO FC=350KG/CM2 CON MICROFIBRA </t>
  </si>
  <si>
    <t>PANELES DE PISO 6PULG</t>
  </si>
  <si>
    <t>ESTRUCTURA METALICA PARA NAVE INDUSTRIAL  (COLUMNAS Y VIGAS)</t>
  </si>
  <si>
    <t>LOTE DE VALVULAS</t>
  </si>
  <si>
    <t>Tranformacion</t>
  </si>
  <si>
    <t>MONTAJE DE TABLEROS, FP, TRANSFERENCIA, DISTRIBUCION</t>
  </si>
  <si>
    <t>CAPAS DE AISLANTE CON MANTO ASFALTICO e=3mm</t>
  </si>
  <si>
    <t>UNIDAD COMPRESORA N160VLD-TS CON MOTOR DE 200HP, VARIADOR DE FRECUENCIA.</t>
  </si>
  <si>
    <t>TANQUES RECIRCULADOR, RECIBIDOR, TRAMPA DE ACEITE</t>
  </si>
  <si>
    <t>CIMENTACION PARA NAVE DE PATIO 3</t>
  </si>
  <si>
    <t>IMPREVISTOS</t>
  </si>
  <si>
    <t>CONDENSADOR EVAPCO GALVANIZADO SCD-C315</t>
  </si>
  <si>
    <t>MURO DE HORMIGON ARMADO PARA CONTENCION DE CAMARA</t>
  </si>
  <si>
    <t>MONATJE DE TRANSFORMADOR, CELDAS, ALIMENTADORES Y GENERADOR</t>
  </si>
  <si>
    <t xml:space="preserve">DESMONTAJE Y MONTAJE DEL TANQUE DE AGUA </t>
  </si>
  <si>
    <t>CONDENSADOR EVAPCO GALVANIZADO SCD-C280</t>
  </si>
  <si>
    <t>CONSTRUCCIÓN DE TANQUE DE DIESEL</t>
  </si>
  <si>
    <t>MONTAJE E INSTALACION DE GENERADOR</t>
  </si>
  <si>
    <t>TUBO CORRUGADO DE 6PULG</t>
  </si>
  <si>
    <t>SUMINISTRO DE CELDAS</t>
  </si>
  <si>
    <t>HORMIGON PREMEZCLADO FC=350KG/CM2 CON MICROFIBRA EN MURO INTERIOR PARA CONFINAR PANELES EN PAREDES</t>
  </si>
  <si>
    <t>SUMINISTRO DE TRANSFORMADOR 1.5MVA</t>
  </si>
  <si>
    <t>SISTEMA DE EXTINCION</t>
  </si>
  <si>
    <t xml:space="preserve">HORMIGON DE REPLANTILLO CON MALLA </t>
  </si>
  <si>
    <t>Bomba</t>
  </si>
  <si>
    <t>ALIMENTADOR PARA SISTEMA DE ENFRIAMIENTO DECAMARAS</t>
  </si>
  <si>
    <t>LOSA PARA COMPRESORES DE MEDIDA 6X11m</t>
  </si>
  <si>
    <t>DESMONTAJES RED ELECTRICA EXISTENTE 13.8KV-EXISTENTE</t>
  </si>
  <si>
    <t>DEMOLICIONES EXCAVACIONES Y DESMANTELACIONES</t>
  </si>
  <si>
    <t>HORMIGON PREMEZCLADO FC=210KG/CM2 EN PISO PARA ANDEN</t>
  </si>
  <si>
    <t>Pasarela</t>
  </si>
  <si>
    <t>INSTALACIO LINEA DE VIDA</t>
  </si>
  <si>
    <t>DESMONTAJE CUARTO DE TRANSFORMADOR EXISTENTE Y EXTERIORES</t>
  </si>
  <si>
    <t>TABLERO ELECTRICO</t>
  </si>
  <si>
    <t xml:space="preserve">RELLENO CON MATERIAL DE MEJORAMIENTO </t>
  </si>
  <si>
    <t>Deteccion</t>
  </si>
  <si>
    <t>DETECTORES DE HUMO ETC</t>
  </si>
  <si>
    <t>INDICADOR Y CELDAS DE CARGAS PARA  BALDES</t>
  </si>
  <si>
    <t xml:space="preserve">CONSTRUCCION DE PASARELAS PARA PERIMETRO DE PATIO </t>
  </si>
  <si>
    <t>CONSTRUCCION DE AREA PARA CARGA DE BATERIAS</t>
  </si>
  <si>
    <t>ACERO DE REFUERZO FY=4,200 KG/CM², EN MUROS PARA CONFINAR PANELES</t>
  </si>
  <si>
    <t>BOMBAS HERMETICAS</t>
  </si>
  <si>
    <t>MONTAJE RED ELECTRICA 13.8 KV</t>
  </si>
  <si>
    <t>INSTALACIONES ELECTRICAS PARA ILUMINACION DE CAMARAS Y PRECAMARA</t>
  </si>
  <si>
    <t>HORMIGON PREMEZCLADO FC=210KG/CM2 EN MURO EXTERIOR PARA CONFINAR PANELES EN PAREDES</t>
  </si>
  <si>
    <t>PUERTA FRIGORIFICA CON RESISTENCIAS ELECTRICAS EN LOS MARCOS, Y ACCESORIOS EN ACERO INOXIDABLE, Y PISO DE CHANUL, Y CORTINAS PLASTICAS, DE 3X3 METROS.</t>
  </si>
  <si>
    <t>ARENA PARA VIGAS QUE CONFINAN TUBOS</t>
  </si>
  <si>
    <t>HORMIGON PREMEZCLADO FC=210KG/CM2 EN MUROS PARA ANDEN. (INCLUYE ENCOFRADO)</t>
  </si>
  <si>
    <t>REPOTENCIACIÓN DEL SISTEMA DE BOMBEO DE P1 A P3</t>
  </si>
  <si>
    <t>PUERTA RAPIDA DE LONA DE BAJA TEMPERATURA, CON AUTOMATIZACION, DE 3X3 METROS.</t>
  </si>
  <si>
    <t>Hidrosanitarias</t>
  </si>
  <si>
    <t>CONSTRUCCION DE AREA DE LIMPIEZA Y BAÑOS</t>
  </si>
  <si>
    <t>Estrcutura metalica</t>
  </si>
  <si>
    <t>ACERO DE REFUERZO FY=4,200 KG/CM², EN MURO DE ANDEN</t>
  </si>
  <si>
    <t>Tranformacion150kva</t>
  </si>
  <si>
    <t>APERTURA DE SECCIONADORES UNIPOLARES 15KV</t>
  </si>
  <si>
    <t>DESMONTAJE DE TRANSICION AEREA SUBTERRANEA</t>
  </si>
  <si>
    <t>DESCONEXION DE ACOMETIDA PRIMARIA EN TRANSFORMADORES</t>
  </si>
  <si>
    <t>DESMONTAJE Y RETIRO DE ALIMENTADOR 3F 15 KV EXISTENTE</t>
  </si>
  <si>
    <t>DESCONEXION DE ACOMETIDA SECUNDARIA EN TRANSFORMADORES</t>
  </si>
  <si>
    <t>SUMINISTRO E INSTALACION DE PUNTAS DE ALTA TENSION DE USO EXTERIOR</t>
  </si>
  <si>
    <t>SUMINISTRO E INSTALACION DE TRANSICION AEREO SUBTERRANEO</t>
  </si>
  <si>
    <t>SUMINISTRO  E  INSTALACION  DE  ALIMENTADOR  TRIFASICO  3#15  KV  #2 133% + 1#2 CU TTU (DESDE TRANSICION A CELDA Y TRANSFORMADOR)</t>
  </si>
  <si>
    <t>SUMINISTRO E INSTALACION DE ESTRUCTURA DE SOPORTE PARA PUNTAS DE
ALTA TENSION</t>
  </si>
  <si>
    <t>CORTE DE PISO (MAQUINA DE CORTE ASFALTO)</t>
  </si>
  <si>
    <t>ROTURA DE PISO DE H.A</t>
  </si>
  <si>
    <t>EXCAVACION Y DESALOJO MANUAL</t>
  </si>
  <si>
    <t>CAMA DE ARENA PARA TUBERIA DE 4"</t>
  </si>
  <si>
    <t>RELLENO DE MEJORMIENTO COMPACTADO</t>
  </si>
  <si>
    <t>COLOCACION DE CINTA DE PELIGRO (ALTA TENSION)</t>
  </si>
  <si>
    <t>SUMINISTRO  E  INSTALACION  DE 2 VIAS  DE TUBO  NOVAFORT DE 4" DOBLE
PARED COLOR NARANJA</t>
  </si>
  <si>
    <t>CONSTRUCCION DE POZO DE REVISION TIPO B 90X90X90 CM</t>
  </si>
  <si>
    <t>HORMIGON SIMPLE F'C=180KG/CM2 EN ACERAS</t>
  </si>
  <si>
    <t>ROTURA DE MURO DE HORMIGON ARMADO (INGRESO A CAMARA)</t>
  </si>
  <si>
    <t>PINTURA EN PAREDES</t>
  </si>
  <si>
    <t>PUERTA RAPIDA DE LONA MEDIA TEMPERATURA, CON AUTOMATIZACION, DE 3X3 METROS.</t>
  </si>
  <si>
    <t>PINTURA DE PUERTA METALICA</t>
  </si>
  <si>
    <t>DESMONTAJE Y RETIRO DE ACCESORIOS DE BANDEJAS (CURVAS, TEE, ETC)</t>
  </si>
  <si>
    <t>DESMONTAJE DE ALIM. TRIF. 3X(1X4/0) X FASE DESDE TRANSFORMADOR
DE150 KVA</t>
  </si>
  <si>
    <t>DESMONTAJE DE BARRAJE DE COBRE (MALLA A TIERRA EXISTENTE)</t>
  </si>
  <si>
    <t>DESMONTAJE DE TRANSFORMADOR DE 150 KVA</t>
  </si>
  <si>
    <t>DESMONTAJE DE TRANSFORMADOR SECO</t>
  </si>
  <si>
    <t>HORMIGON ARMADO F'C=240KG/CM2 EN PISO E=10CM</t>
  </si>
  <si>
    <t>MALLA ELECTROSOLDADA 6 A 15 FY=5200 KG/CM2</t>
  </si>
  <si>
    <t>LOSA DE HORMIGON ARMADO F'C=240KG/CM2</t>
  </si>
  <si>
    <t>MUROS   DE   H.A   F'C=210   KG/CM2   (MALLA   6A   15)   (DUCTOS   DE
CONDUCTORES)</t>
  </si>
  <si>
    <t>RIPIO EN CANAL DE TRANSFORMADOR</t>
  </si>
  <si>
    <t>SUMINISTRO E  INSTALACION  CELDA  SWITCHGEAR GIS  MODULAR COMPACTA EN SF6 CON UN SECCIONADOR DE 630 AMP, MODELO "+ I +"</t>
  </si>
  <si>
    <t>SUMINISTRO   E   INSTALACION   DE   CELDA   SWITCHGEAR   GIS   MODULAR
COMPACTA  EN SF6  Y CON  INTERRUPTOR DE 630 AMP,  PROTECCION POR RELE MODELO "+V+"</t>
  </si>
  <si>
    <t>SUMINISTRO  E  INSTALACION  DE  KIT  CONECTOR  CABLE  TERMINAL  INSERT
(CELDA)</t>
  </si>
  <si>
    <t>SUMINISTRO E INSTALACION  DE KIT ACOPLE DE EXTENSION,  UNION ENTRE
CELDAS</t>
  </si>
  <si>
    <t>SUMINISTRO E INSTALACION DE TAPONES DE EXTENSION</t>
  </si>
  <si>
    <t>CONSTRUCCION DE MALLA PUESTA A TIERRA (CAMARA CT3)</t>
  </si>
  <si>
    <t>INSTALACION DE TRANSFORMADOR TRIFASICO DE 150 KVA</t>
  </si>
  <si>
    <t>INSTALACION DE TRANSFORMADOR SECO</t>
  </si>
  <si>
    <t>COORDINACION DE PROTECCION RELE</t>
  </si>
  <si>
    <t>SUM E INST DE ALIMENTADOR ELECTRICO 3F 3(1X250MCM) + 1#1/0 CU
DESN</t>
  </si>
  <si>
    <t>PARAMETRIZACION Y AJUSTES DE RELE DE CELDA</t>
  </si>
  <si>
    <t>SUMINISTRO   E   INSTALACION   DE   PANEL   SQD   12   ESPACIOS   INCLUYE
BREAKERS</t>
  </si>
  <si>
    <t>SUMINISTRO E INSTALACION DE LUMINARIAS LED 2X18 WATTIOS SELLADA</t>
  </si>
  <si>
    <t>SUMINISTRO  E  INSTALACION  DE  PUNTO  DE  120  VOLTIOS  ILUMINACION
SOBREPUESTO TUBERIA RIGIDA 1/2 INCLUYE ACCESORIOS</t>
  </si>
  <si>
    <t>SUMINISTRO E INSTALACION DE LUMINARIA LED DE EMERGENCIA 24 LEDS
120 VOLTIOS</t>
  </si>
  <si>
    <t>SUMINISTRO  E  INSTALACION   DE  PUNTOS  DE  TOMACORRIENTE   120  V
SOBREPUESTOS EN TUBERIA RIGIDA 1/2" INCLUYE ACCESORIOS</t>
  </si>
  <si>
    <t>SUMINISTRO  E  INSTALACION   DE  PUNTOS  DE  TOMACORRIENTE   220  V SOBREPUESTO EN TUBERIA RIGIDA 1/2 INCLUYE ACCESORIOS (50AMP)</t>
  </si>
  <si>
    <t>SUM.  E  INST.  BANDEJA  PORTACABLE  TIPO  ESCALERILLA  200X150  MM
INCLUYE: ACCESORIOS SOPORTE Y FIJACION</t>
  </si>
  <si>
    <t>SUMINISTRO E INSTALACION DE TABLERO DE TRANSFERENCIA AUTOMATICA
PARA SINCRONISMO</t>
  </si>
  <si>
    <t>PARAMETRIZACION Y AJUSTES DE TABLERO DE SINCRONISMO</t>
  </si>
  <si>
    <t>PARAMETRIZACION Y AJUSTES DE GENERADOR EXISTENTE Y PROYECTADO</t>
  </si>
  <si>
    <t>SUM.  E  INST.  DE  ALIM  TRIF.  3X(9X500  MCM)  TTU  +  2X500  MCM
TIERRA DESDE TRANSFORMADOR A TTA</t>
  </si>
  <si>
    <t>SUM.  E  INST.  DE  ALIM  TRIF.  3X(9X500  MCM)  TTU  +  2X500  MCM
TIERRA DESDE TTA A TPD</t>
  </si>
  <si>
    <t>SUM. E INST. DE ALIM TRIF. 3X(5X500 MCM)TTU + 1X500 MCM TIERRA
DESDE TTA A GENERADOR 890 KW 460 V</t>
  </si>
  <si>
    <t>SUM. E INST. DE ALIM TRIF. 3X(6X500 MCM)TTU + 1X500MCM TIERRA
DESDE TTA A GENERADOR 1250 KW A 460 VOLTIOS</t>
  </si>
  <si>
    <t>CONEXIONADO  DE  ACOMETIDA  EN  GENERADOR  CAT  890  KW  INCLUYE
PUESTA EN MARCHA</t>
  </si>
  <si>
    <t>SISTEMA PUESTA A TIERRA MATERIAL Y MANO DE OBRA</t>
  </si>
  <si>
    <t>ESTUDIO PUESTA A TIERRA PARA TODO EL PATIO</t>
  </si>
  <si>
    <t>INSTALACION DE UPS PARA EL PATIO DE 50KVA</t>
  </si>
  <si>
    <t>PUERTA METALICA PRINCIPAL DE 28 M DOBLE HOJA POR 3M</t>
  </si>
  <si>
    <t>PUERTA METALICA SECUNDARIA DE 18 M DOBLE HOJA POR 3M</t>
  </si>
  <si>
    <t xml:space="preserve">PUERTA DE EMERGENCIA EN CAMARAS </t>
  </si>
  <si>
    <t>SISTEMA DE CONTROL AUTOMATICA DE TEMPERATURA</t>
  </si>
  <si>
    <t>PASARELAS PARA MANTENIMIENTO ARRIBA DE CAMARAS</t>
  </si>
  <si>
    <t>SENSORES PARA DETECCION FUGAS DE AMONIACO</t>
  </si>
  <si>
    <t>SISTEMA DE SEGURIDAD PARA EXTRACCION DE AMONIACO</t>
  </si>
  <si>
    <t>ADQUISICON DE EXTINTORES, SEÑALETICAS DE SEGURIDAD</t>
  </si>
  <si>
    <t>Permisos</t>
  </si>
  <si>
    <t xml:space="preserve">PERMISOS DE LICENCIA AMBIENTAL </t>
  </si>
  <si>
    <t>MESA DE CLASIFICACION</t>
  </si>
  <si>
    <t>CAMILLAS DE EMERGENCIA</t>
  </si>
  <si>
    <t>INSTALACION DE LAMPARAS DE EMERGENCIA</t>
  </si>
  <si>
    <t>ADQUISICION DE CASILLEROS</t>
  </si>
  <si>
    <t>LAVAOJOS</t>
  </si>
  <si>
    <t>25-90-09 Cold Storage Chamber</t>
  </si>
  <si>
    <t xml:space="preserve">enero 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</si>
  <si>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</si>
  <si>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</si>
  <si>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</si>
  <si>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</si>
  <si>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</si>
  <si>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</si>
  <si>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</si>
  <si>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</si>
  <si>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</si>
  <si>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</si>
  <si>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</si>
  <si>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</si>
  <si>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Real</t>
  </si>
  <si>
    <t>Previsto %</t>
  </si>
  <si>
    <t>presupuesto total</t>
  </si>
  <si>
    <t>StartDate</t>
  </si>
  <si>
    <t>Approved Date</t>
  </si>
  <si>
    <t>Approved Date %</t>
  </si>
  <si>
    <t>CloseDate</t>
  </si>
  <si>
    <t>Forecast EndDate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</si>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</sst>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9" fontId="0" fillId="0" borderId="1" xfId="1" applyFont="1" applyBorder="1" applyAlignment="1">
      <alignment horizontal="center"/>
    </xf>
    <xf numFmtId="9" fontId="3" fillId="0" borderId="1" xfId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gráficas!$B$2</c:f>
              <c:strCache>
                <c:ptCount val="1"/>
                <c:pt idx="0">
                  <c:v>Previsto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gráficas!$A$3:$A$14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 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gráficas!$B$3:$B$14</c:f>
              <c:numCache>
                <c:formatCode>0%</c:formatCode>
                <c:ptCount val="12"/>
                <c:pt idx="0">
                  <c:v>8.3299999999999999E-2</c:v>
                </c:pt>
                <c:pt idx="1">
                  <c:v>0.1666</c:v>
                </c:pt>
                <c:pt idx="2">
                  <c:v>0.24990000000000001</c:v>
                </c:pt>
                <c:pt idx="3">
                  <c:v>0.3332</c:v>
                </c:pt>
                <c:pt idx="4">
                  <c:v>0.41649999999999998</c:v>
                </c:pt>
                <c:pt idx="5">
                  <c:v>0.49979999999999997</c:v>
                </c:pt>
                <c:pt idx="6">
                  <c:v>0.58309999999999995</c:v>
                </c:pt>
                <c:pt idx="7">
                  <c:v>0.66639999999999999</c:v>
                </c:pt>
                <c:pt idx="8">
                  <c:v>0.74970000000000003</c:v>
                </c:pt>
                <c:pt idx="9">
                  <c:v>0.83300000000000007</c:v>
                </c:pt>
                <c:pt idx="10">
                  <c:v>0.91630000000000011</c:v>
                </c:pt>
                <c:pt idx="11">
                  <c:v>0.99960000000000016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1-41B7-8819-C4CA5374D262}"/>
            </c:ext>
          </c:extLst>
        </c:ser>
        <c:ser>
          <c:idx val="1"/>
          <c:order val="1"/>
          <c:tx>
            <c:strRef>
              <c:f>gráficas!$C$2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gráficas!$A$3:$A$14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 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gráficas!$C$3:$C$14</c:f>
              <c:numCache>
                <c:formatCode>0%</c:formatCode>
                <c:ptCount val="12"/>
                <c:pt idx="0">
                  <c:v>0</c:v>
                </c:pt>
                <c:pt idx="1">
                  <c:v>0.05</c:v>
                </c:pt>
                <c:pt idx="2">
                  <c:v>6.0000000000000005E-2</c:v>
                </c:pt>
                <c:pt idx="3">
                  <c:v>0.12</c:v>
                </c:pt>
                <c:pt idx="4">
                  <c:v>0.19</c:v>
                </c:pt>
                <c:pt idx="5">
                  <c:v>0.27</c:v>
                </c:pt>
                <c:pt idx="6">
                  <c:v>0.37</c:v>
                </c:pt>
                <c:pt idx="7">
                  <c:v>0.66999999999999993</c:v>
                </c:pt>
                <c:pt idx="8">
                  <c:v>0.74999999999999989</c:v>
                </c:pt>
                <c:pt idx="9">
                  <c:v>0.83999999999999986</c:v>
                </c:pt>
                <c:pt idx="10">
                  <c:v>0.93999999999999984</c:v>
                </c:pt>
                <c:pt idx="11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1-41B7-8819-C4CA5374D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87215"/>
        <c:axId val="1531907887"/>
      </c:scatterChart>
      <c:valAx>
        <c:axId val="155158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1907887"/>
        <c:crosses val="autoZero"/>
        <c:crossBetween val="midCat"/>
      </c:valAx>
      <c:valAx>
        <c:axId val="15319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51587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gráficas!$B$20</c:f>
              <c:strCache>
                <c:ptCount val="1"/>
                <c:pt idx="0">
                  <c:v>Forecast EndDate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gráficas!$A$21:$A$32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 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gráficas!$B$21:$B$32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8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5-4250-9D3B-27FC41DCA4E0}"/>
            </c:ext>
          </c:extLst>
        </c:ser>
        <c:ser>
          <c:idx val="1"/>
          <c:order val="1"/>
          <c:tx>
            <c:strRef>
              <c:f>gráficas!$C$20</c:f>
              <c:strCache>
                <c:ptCount val="1"/>
                <c:pt idx="0">
                  <c:v>CloseDate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gráficas!$A$21:$A$32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 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gráficas!$C$21:$C$32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5-4250-9D3B-27FC41DCA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97551"/>
        <c:axId val="1531942927"/>
      </c:scatterChart>
      <c:valAx>
        <c:axId val="154559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1942927"/>
        <c:crosses val="autoZero"/>
        <c:crossBetween val="midCat"/>
      </c:valAx>
      <c:valAx>
        <c:axId val="153194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45597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95250</xdr:rowOff>
    </xdr:from>
    <xdr:to>
      <xdr:col>10</xdr:col>
      <xdr:colOff>685800</xdr:colOff>
      <xdr:row>16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97D82F-8B96-F320-F887-C249E9B43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769620</xdr:colOff>
      <xdr:row>17</xdr:row>
      <xdr:rowOff>133350</xdr:rowOff>
    </xdr:from>
    <xdr:to>
      <xdr:col>10</xdr:col>
      <xdr:colOff>586740</xdr:colOff>
      <xdr:row>32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5C2680-4777-71EC-DE82-5DDB5F368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8"/>
  <sheetViews>
    <sheetView topLeftCell="B1" workbookViewId="0">
      <selection activeCell="H1" sqref="H1:H1048576"/>
    </sheetView>
  </sheetViews>
  <sheetFormatPr baseColWidth="10" defaultColWidth="8.88671875" defaultRowHeight="14.4" x14ac:dyDescent="0.3"/>
  <cols>
    <col min="1" max="1" width="5" bestFit="1" customWidth="1"/>
    <col min="2" max="2" width="16.88671875" bestFit="1" customWidth="1"/>
    <col min="3" max="3" width="11" bestFit="1" customWidth="1"/>
    <col min="4" max="4" width="22.109375" bestFit="1" customWidth="1"/>
    <col min="8" max="8" width="8.88671875" style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5013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 t="s">
        <v>28</v>
      </c>
      <c r="I2" t="s">
        <v>29</v>
      </c>
      <c r="J2">
        <v>1</v>
      </c>
      <c r="K2">
        <v>8000</v>
      </c>
      <c r="L2">
        <v>8000</v>
      </c>
      <c r="M2">
        <v>0</v>
      </c>
      <c r="N2">
        <v>0</v>
      </c>
      <c r="O2">
        <v>0</v>
      </c>
      <c r="P2">
        <v>0</v>
      </c>
      <c r="Q2">
        <v>0</v>
      </c>
      <c r="R2" t="s">
        <v>30</v>
      </c>
      <c r="S2" t="s">
        <v>31</v>
      </c>
    </row>
    <row r="3" spans="1:22" x14ac:dyDescent="0.3">
      <c r="A3">
        <v>5014</v>
      </c>
      <c r="B3" t="s">
        <v>32</v>
      </c>
      <c r="C3" t="s">
        <v>23</v>
      </c>
      <c r="D3" t="s">
        <v>33</v>
      </c>
      <c r="E3" t="s">
        <v>34</v>
      </c>
      <c r="F3" t="s">
        <v>26</v>
      </c>
      <c r="G3" t="s">
        <v>27</v>
      </c>
      <c r="H3" s="1" t="s">
        <v>28</v>
      </c>
      <c r="I3" t="s">
        <v>35</v>
      </c>
      <c r="J3">
        <v>1</v>
      </c>
      <c r="K3">
        <v>6285.71</v>
      </c>
      <c r="L3">
        <v>6285.71</v>
      </c>
      <c r="M3">
        <v>0</v>
      </c>
      <c r="N3">
        <v>0</v>
      </c>
      <c r="O3">
        <v>0</v>
      </c>
      <c r="P3">
        <v>0</v>
      </c>
      <c r="Q3">
        <v>0</v>
      </c>
      <c r="R3" t="s">
        <v>30</v>
      </c>
      <c r="S3" t="s">
        <v>31</v>
      </c>
    </row>
    <row r="4" spans="1:22" x14ac:dyDescent="0.3">
      <c r="A4">
        <v>5015</v>
      </c>
      <c r="B4" t="s">
        <v>36</v>
      </c>
      <c r="C4" t="s">
        <v>23</v>
      </c>
      <c r="D4" t="s">
        <v>36</v>
      </c>
      <c r="E4" t="s">
        <v>37</v>
      </c>
      <c r="F4" t="s">
        <v>26</v>
      </c>
      <c r="G4" t="s">
        <v>27</v>
      </c>
      <c r="H4" s="1" t="s">
        <v>28</v>
      </c>
      <c r="I4" t="s">
        <v>35</v>
      </c>
      <c r="J4">
        <v>25</v>
      </c>
      <c r="K4">
        <v>238.1</v>
      </c>
      <c r="L4">
        <v>5952.38</v>
      </c>
      <c r="M4">
        <v>0</v>
      </c>
      <c r="N4">
        <v>0</v>
      </c>
      <c r="O4">
        <v>0</v>
      </c>
      <c r="P4">
        <v>0</v>
      </c>
      <c r="Q4">
        <v>0</v>
      </c>
      <c r="R4" t="s">
        <v>30</v>
      </c>
      <c r="S4" t="s">
        <v>31</v>
      </c>
    </row>
    <row r="5" spans="1:22" x14ac:dyDescent="0.3">
      <c r="A5">
        <v>5016</v>
      </c>
      <c r="B5" t="s">
        <v>36</v>
      </c>
      <c r="C5" t="s">
        <v>23</v>
      </c>
      <c r="D5" t="s">
        <v>36</v>
      </c>
      <c r="E5" t="s">
        <v>38</v>
      </c>
      <c r="F5" t="s">
        <v>26</v>
      </c>
      <c r="G5" t="s">
        <v>27</v>
      </c>
      <c r="H5" s="1" t="s">
        <v>28</v>
      </c>
      <c r="I5" t="s">
        <v>35</v>
      </c>
      <c r="J5">
        <v>1</v>
      </c>
      <c r="K5">
        <v>3714.29</v>
      </c>
      <c r="L5">
        <v>3714.29</v>
      </c>
      <c r="M5">
        <v>0</v>
      </c>
      <c r="N5">
        <v>0</v>
      </c>
      <c r="O5">
        <v>0</v>
      </c>
      <c r="P5">
        <v>0</v>
      </c>
      <c r="Q5">
        <v>0</v>
      </c>
      <c r="R5" t="s">
        <v>30</v>
      </c>
      <c r="S5" t="s">
        <v>31</v>
      </c>
    </row>
    <row r="6" spans="1:22" x14ac:dyDescent="0.3">
      <c r="A6">
        <v>5017</v>
      </c>
      <c r="B6" t="s">
        <v>39</v>
      </c>
      <c r="C6" t="s">
        <v>23</v>
      </c>
      <c r="D6" t="s">
        <v>40</v>
      </c>
      <c r="E6" t="s">
        <v>41</v>
      </c>
      <c r="F6" t="s">
        <v>26</v>
      </c>
      <c r="G6" t="s">
        <v>27</v>
      </c>
      <c r="H6" s="1" t="s">
        <v>28</v>
      </c>
      <c r="I6" t="s">
        <v>29</v>
      </c>
      <c r="J6">
        <v>1</v>
      </c>
      <c r="K6">
        <v>3101.76</v>
      </c>
      <c r="L6">
        <v>3101.76</v>
      </c>
      <c r="M6">
        <v>0</v>
      </c>
      <c r="N6">
        <v>0</v>
      </c>
      <c r="O6">
        <v>0</v>
      </c>
      <c r="P6">
        <v>0</v>
      </c>
      <c r="Q6">
        <v>0</v>
      </c>
      <c r="R6" t="s">
        <v>30</v>
      </c>
      <c r="S6" t="s">
        <v>31</v>
      </c>
    </row>
    <row r="7" spans="1:22" x14ac:dyDescent="0.3">
      <c r="A7">
        <v>5018</v>
      </c>
      <c r="B7" t="s">
        <v>42</v>
      </c>
      <c r="C7" t="s">
        <v>23</v>
      </c>
      <c r="D7" t="s">
        <v>43</v>
      </c>
      <c r="E7" t="s">
        <v>44</v>
      </c>
      <c r="F7" t="s">
        <v>26</v>
      </c>
      <c r="G7" t="s">
        <v>27</v>
      </c>
      <c r="H7" s="1" t="s">
        <v>28</v>
      </c>
      <c r="I7" t="s">
        <v>29</v>
      </c>
      <c r="J7">
        <v>1</v>
      </c>
      <c r="K7">
        <v>2427.62</v>
      </c>
      <c r="L7">
        <v>2427.62</v>
      </c>
      <c r="M7">
        <v>0</v>
      </c>
      <c r="N7">
        <v>0</v>
      </c>
      <c r="O7">
        <v>0</v>
      </c>
      <c r="P7">
        <v>0</v>
      </c>
      <c r="Q7">
        <v>0</v>
      </c>
      <c r="R7" t="s">
        <v>30</v>
      </c>
      <c r="S7" t="s">
        <v>31</v>
      </c>
    </row>
    <row r="8" spans="1:22" x14ac:dyDescent="0.3">
      <c r="A8">
        <v>5019</v>
      </c>
      <c r="B8" t="s">
        <v>42</v>
      </c>
      <c r="C8" t="s">
        <v>23</v>
      </c>
      <c r="D8" t="s">
        <v>43</v>
      </c>
      <c r="E8" t="s">
        <v>45</v>
      </c>
      <c r="F8" t="s">
        <v>26</v>
      </c>
      <c r="G8" t="s">
        <v>27</v>
      </c>
      <c r="H8" s="1" t="s">
        <v>28</v>
      </c>
      <c r="I8" t="s">
        <v>29</v>
      </c>
      <c r="J8">
        <v>1</v>
      </c>
      <c r="K8">
        <v>2380.9499999999998</v>
      </c>
      <c r="L8">
        <v>2380.9499999999998</v>
      </c>
      <c r="M8">
        <v>0</v>
      </c>
      <c r="N8">
        <v>0</v>
      </c>
      <c r="O8">
        <v>0</v>
      </c>
      <c r="P8">
        <v>0</v>
      </c>
      <c r="Q8">
        <v>0</v>
      </c>
      <c r="R8" t="s">
        <v>30</v>
      </c>
      <c r="S8" t="s">
        <v>31</v>
      </c>
    </row>
    <row r="9" spans="1:22" x14ac:dyDescent="0.3">
      <c r="A9">
        <v>5020</v>
      </c>
      <c r="B9" t="s">
        <v>36</v>
      </c>
      <c r="C9" t="s">
        <v>23</v>
      </c>
      <c r="D9" t="s">
        <v>36</v>
      </c>
      <c r="E9" t="s">
        <v>46</v>
      </c>
      <c r="F9" t="s">
        <v>26</v>
      </c>
      <c r="G9" t="s">
        <v>27</v>
      </c>
      <c r="H9" s="1" t="s">
        <v>28</v>
      </c>
      <c r="I9" t="s">
        <v>35</v>
      </c>
      <c r="J9">
        <v>4</v>
      </c>
      <c r="K9">
        <v>571.42999999999995</v>
      </c>
      <c r="L9">
        <v>2285.71</v>
      </c>
      <c r="M9">
        <v>0</v>
      </c>
      <c r="N9">
        <v>0</v>
      </c>
      <c r="O9">
        <v>0</v>
      </c>
      <c r="P9">
        <v>0</v>
      </c>
      <c r="Q9">
        <v>0</v>
      </c>
      <c r="R9" t="s">
        <v>30</v>
      </c>
      <c r="S9" t="s">
        <v>31</v>
      </c>
    </row>
    <row r="10" spans="1:22" x14ac:dyDescent="0.3">
      <c r="A10">
        <v>5021</v>
      </c>
      <c r="B10" t="s">
        <v>32</v>
      </c>
      <c r="C10" t="s">
        <v>23</v>
      </c>
      <c r="D10" t="s">
        <v>47</v>
      </c>
      <c r="E10" t="s">
        <v>48</v>
      </c>
      <c r="F10" t="s">
        <v>26</v>
      </c>
      <c r="G10" t="s">
        <v>27</v>
      </c>
      <c r="H10" s="1" t="s">
        <v>28</v>
      </c>
      <c r="I10" t="s">
        <v>29</v>
      </c>
      <c r="J10">
        <v>1</v>
      </c>
      <c r="K10">
        <v>2135.2399999999998</v>
      </c>
      <c r="L10">
        <v>2135.2399999999998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30</v>
      </c>
      <c r="S10" t="s">
        <v>31</v>
      </c>
    </row>
    <row r="11" spans="1:22" x14ac:dyDescent="0.3">
      <c r="A11">
        <v>5022</v>
      </c>
      <c r="B11" t="s">
        <v>36</v>
      </c>
      <c r="C11" t="s">
        <v>23</v>
      </c>
      <c r="D11" t="s">
        <v>36</v>
      </c>
      <c r="E11" t="s">
        <v>49</v>
      </c>
      <c r="F11" t="s">
        <v>26</v>
      </c>
      <c r="G11" t="s">
        <v>27</v>
      </c>
      <c r="H11" s="1" t="s">
        <v>28</v>
      </c>
      <c r="I11" t="s">
        <v>35</v>
      </c>
      <c r="J11">
        <v>1</v>
      </c>
      <c r="K11">
        <v>1904.76</v>
      </c>
      <c r="L11">
        <v>1904.76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</v>
      </c>
      <c r="S11" t="s">
        <v>31</v>
      </c>
    </row>
    <row r="12" spans="1:22" x14ac:dyDescent="0.3">
      <c r="A12">
        <v>5023</v>
      </c>
      <c r="B12" t="s">
        <v>39</v>
      </c>
      <c r="C12" t="s">
        <v>23</v>
      </c>
      <c r="D12" t="s">
        <v>50</v>
      </c>
      <c r="E12" t="s">
        <v>51</v>
      </c>
      <c r="F12" t="s">
        <v>26</v>
      </c>
      <c r="G12" t="s">
        <v>27</v>
      </c>
      <c r="H12" s="1" t="s">
        <v>28</v>
      </c>
      <c r="I12" t="s">
        <v>52</v>
      </c>
      <c r="J12">
        <v>52</v>
      </c>
      <c r="K12">
        <v>26.97</v>
      </c>
      <c r="L12">
        <v>1402.51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30</v>
      </c>
      <c r="S12" t="s">
        <v>31</v>
      </c>
    </row>
    <row r="13" spans="1:22" x14ac:dyDescent="0.3">
      <c r="A13">
        <v>5024</v>
      </c>
      <c r="B13" t="s">
        <v>39</v>
      </c>
      <c r="C13" t="s">
        <v>23</v>
      </c>
      <c r="D13" t="s">
        <v>40</v>
      </c>
      <c r="E13" t="s">
        <v>53</v>
      </c>
      <c r="F13" t="s">
        <v>26</v>
      </c>
      <c r="G13" t="s">
        <v>27</v>
      </c>
      <c r="H13" s="1" t="s">
        <v>28</v>
      </c>
      <c r="I13" t="s">
        <v>29</v>
      </c>
      <c r="J13">
        <v>1</v>
      </c>
      <c r="K13">
        <v>1390.48</v>
      </c>
      <c r="L13">
        <v>1390.48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30</v>
      </c>
      <c r="S13" t="s">
        <v>31</v>
      </c>
    </row>
    <row r="14" spans="1:22" x14ac:dyDescent="0.3">
      <c r="A14">
        <v>5025</v>
      </c>
      <c r="B14" t="s">
        <v>54</v>
      </c>
      <c r="C14" t="s">
        <v>23</v>
      </c>
      <c r="D14" t="s">
        <v>54</v>
      </c>
      <c r="E14" t="s">
        <v>55</v>
      </c>
      <c r="F14" t="s">
        <v>26</v>
      </c>
      <c r="G14" t="s">
        <v>27</v>
      </c>
      <c r="H14" s="1" t="s">
        <v>28</v>
      </c>
      <c r="I14" t="s">
        <v>29</v>
      </c>
      <c r="J14">
        <v>1</v>
      </c>
      <c r="K14">
        <v>1186.67</v>
      </c>
      <c r="L14">
        <v>1186.67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30</v>
      </c>
      <c r="S14" t="s">
        <v>31</v>
      </c>
    </row>
    <row r="15" spans="1:22" x14ac:dyDescent="0.3">
      <c r="A15">
        <v>5026</v>
      </c>
      <c r="B15" t="s">
        <v>42</v>
      </c>
      <c r="C15" t="s">
        <v>23</v>
      </c>
      <c r="D15" t="s">
        <v>43</v>
      </c>
      <c r="E15" t="s">
        <v>56</v>
      </c>
      <c r="F15" t="s">
        <v>26</v>
      </c>
      <c r="G15" t="s">
        <v>27</v>
      </c>
      <c r="H15" s="1" t="s">
        <v>28</v>
      </c>
      <c r="I15" t="s">
        <v>29</v>
      </c>
      <c r="J15">
        <v>1</v>
      </c>
      <c r="K15">
        <v>1142.8599999999999</v>
      </c>
      <c r="L15">
        <v>1142.8599999999999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30</v>
      </c>
      <c r="S15" t="s">
        <v>31</v>
      </c>
    </row>
    <row r="16" spans="1:22" x14ac:dyDescent="0.3">
      <c r="A16">
        <v>5027</v>
      </c>
      <c r="B16" t="s">
        <v>36</v>
      </c>
      <c r="C16" t="s">
        <v>23</v>
      </c>
      <c r="D16" t="s">
        <v>36</v>
      </c>
      <c r="E16" t="s">
        <v>57</v>
      </c>
      <c r="F16" t="s">
        <v>26</v>
      </c>
      <c r="G16" t="s">
        <v>27</v>
      </c>
      <c r="H16" s="1" t="s">
        <v>28</v>
      </c>
      <c r="I16" t="s">
        <v>35</v>
      </c>
      <c r="J16">
        <v>1</v>
      </c>
      <c r="K16">
        <v>1142.8599999999999</v>
      </c>
      <c r="L16">
        <v>1142.8599999999999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30</v>
      </c>
      <c r="S16" t="s">
        <v>31</v>
      </c>
    </row>
    <row r="17" spans="1:19" x14ac:dyDescent="0.3">
      <c r="A17">
        <v>5028</v>
      </c>
      <c r="B17" t="s">
        <v>36</v>
      </c>
      <c r="C17" t="s">
        <v>23</v>
      </c>
      <c r="D17" t="s">
        <v>36</v>
      </c>
      <c r="E17" t="s">
        <v>58</v>
      </c>
      <c r="F17" t="s">
        <v>26</v>
      </c>
      <c r="G17" t="s">
        <v>27</v>
      </c>
      <c r="H17" s="1" t="s">
        <v>28</v>
      </c>
      <c r="I17" t="s">
        <v>35</v>
      </c>
      <c r="J17">
        <v>1</v>
      </c>
      <c r="K17">
        <v>1047.6199999999999</v>
      </c>
      <c r="L17">
        <v>1047.6199999999999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30</v>
      </c>
      <c r="S17" t="s">
        <v>31</v>
      </c>
    </row>
    <row r="18" spans="1:19" x14ac:dyDescent="0.3">
      <c r="A18">
        <v>5029</v>
      </c>
      <c r="B18" t="s">
        <v>39</v>
      </c>
      <c r="C18" t="s">
        <v>23</v>
      </c>
      <c r="D18" t="s">
        <v>59</v>
      </c>
      <c r="E18" t="s">
        <v>60</v>
      </c>
      <c r="F18" t="s">
        <v>26</v>
      </c>
      <c r="G18" t="s">
        <v>27</v>
      </c>
      <c r="H18" s="1" t="s">
        <v>28</v>
      </c>
      <c r="I18" t="s">
        <v>52</v>
      </c>
      <c r="J18">
        <v>29</v>
      </c>
      <c r="K18">
        <v>35.83</v>
      </c>
      <c r="L18">
        <v>1039.03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30</v>
      </c>
      <c r="S18" t="s">
        <v>31</v>
      </c>
    </row>
    <row r="19" spans="1:19" x14ac:dyDescent="0.3">
      <c r="A19">
        <v>5030</v>
      </c>
      <c r="B19" t="s">
        <v>39</v>
      </c>
      <c r="C19" t="s">
        <v>23</v>
      </c>
      <c r="D19" t="s">
        <v>61</v>
      </c>
      <c r="E19" t="s">
        <v>62</v>
      </c>
      <c r="F19" t="s">
        <v>26</v>
      </c>
      <c r="G19" t="s">
        <v>27</v>
      </c>
      <c r="H19" s="1" t="s">
        <v>28</v>
      </c>
      <c r="I19" t="s">
        <v>29</v>
      </c>
      <c r="J19">
        <v>1</v>
      </c>
      <c r="K19">
        <v>856.19</v>
      </c>
      <c r="L19">
        <v>856.19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30</v>
      </c>
      <c r="S19" t="s">
        <v>31</v>
      </c>
    </row>
    <row r="20" spans="1:19" x14ac:dyDescent="0.3">
      <c r="A20">
        <v>5031</v>
      </c>
      <c r="B20" t="s">
        <v>32</v>
      </c>
      <c r="C20" t="s">
        <v>23</v>
      </c>
      <c r="D20" t="s">
        <v>33</v>
      </c>
      <c r="E20" t="s">
        <v>63</v>
      </c>
      <c r="F20" t="s">
        <v>26</v>
      </c>
      <c r="G20" t="s">
        <v>27</v>
      </c>
      <c r="H20" s="1" t="s">
        <v>28</v>
      </c>
      <c r="I20" t="s">
        <v>29</v>
      </c>
      <c r="J20">
        <v>1</v>
      </c>
      <c r="K20">
        <v>761.9</v>
      </c>
      <c r="L20">
        <v>761.9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30</v>
      </c>
      <c r="S20" t="s">
        <v>31</v>
      </c>
    </row>
    <row r="21" spans="1:19" x14ac:dyDescent="0.3">
      <c r="A21">
        <v>5032</v>
      </c>
      <c r="B21" t="s">
        <v>42</v>
      </c>
      <c r="C21" t="s">
        <v>23</v>
      </c>
      <c r="D21" t="s">
        <v>64</v>
      </c>
      <c r="E21" t="s">
        <v>65</v>
      </c>
      <c r="F21" t="s">
        <v>26</v>
      </c>
      <c r="G21" t="s">
        <v>27</v>
      </c>
      <c r="H21" s="1" t="s">
        <v>28</v>
      </c>
      <c r="I21" t="s">
        <v>29</v>
      </c>
      <c r="J21">
        <v>1</v>
      </c>
      <c r="K21">
        <v>761.9</v>
      </c>
      <c r="L21">
        <v>761.9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30</v>
      </c>
      <c r="S21" t="s">
        <v>31</v>
      </c>
    </row>
    <row r="22" spans="1:19" x14ac:dyDescent="0.3">
      <c r="A22">
        <v>5033</v>
      </c>
      <c r="B22" t="s">
        <v>39</v>
      </c>
      <c r="C22" t="s">
        <v>23</v>
      </c>
      <c r="D22" t="s">
        <v>50</v>
      </c>
      <c r="E22" t="s">
        <v>66</v>
      </c>
      <c r="F22" t="s">
        <v>26</v>
      </c>
      <c r="G22" t="s">
        <v>27</v>
      </c>
      <c r="H22" s="1" t="s">
        <v>28</v>
      </c>
      <c r="I22" t="s">
        <v>52</v>
      </c>
      <c r="J22">
        <v>29</v>
      </c>
      <c r="K22">
        <v>24.76</v>
      </c>
      <c r="L22">
        <v>718.1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30</v>
      </c>
      <c r="S22" t="s">
        <v>31</v>
      </c>
    </row>
    <row r="23" spans="1:19" x14ac:dyDescent="0.3">
      <c r="A23">
        <v>5034</v>
      </c>
      <c r="B23" t="s">
        <v>36</v>
      </c>
      <c r="C23" t="s">
        <v>23</v>
      </c>
      <c r="D23" t="s">
        <v>36</v>
      </c>
      <c r="E23" t="s">
        <v>67</v>
      </c>
      <c r="F23" t="s">
        <v>26</v>
      </c>
      <c r="G23" t="s">
        <v>27</v>
      </c>
      <c r="H23" s="1" t="s">
        <v>28</v>
      </c>
      <c r="I23" t="s">
        <v>35</v>
      </c>
      <c r="J23">
        <v>1</v>
      </c>
      <c r="K23">
        <v>666.67</v>
      </c>
      <c r="L23">
        <v>666.67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30</v>
      </c>
      <c r="S23" t="s">
        <v>31</v>
      </c>
    </row>
    <row r="24" spans="1:19" x14ac:dyDescent="0.3">
      <c r="A24">
        <v>5035</v>
      </c>
      <c r="B24" t="s">
        <v>36</v>
      </c>
      <c r="C24" t="s">
        <v>23</v>
      </c>
      <c r="D24" t="s">
        <v>36</v>
      </c>
      <c r="E24" t="s">
        <v>68</v>
      </c>
      <c r="F24" t="s">
        <v>26</v>
      </c>
      <c r="G24" t="s">
        <v>27</v>
      </c>
      <c r="H24" s="1" t="s">
        <v>28</v>
      </c>
      <c r="I24" t="s">
        <v>35</v>
      </c>
      <c r="J24">
        <v>1</v>
      </c>
      <c r="K24">
        <v>666.67</v>
      </c>
      <c r="L24">
        <v>666.67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30</v>
      </c>
      <c r="S24" t="s">
        <v>31</v>
      </c>
    </row>
    <row r="25" spans="1:19" x14ac:dyDescent="0.3">
      <c r="A25">
        <v>5036</v>
      </c>
      <c r="B25" t="s">
        <v>39</v>
      </c>
      <c r="C25" t="s">
        <v>23</v>
      </c>
      <c r="D25" t="s">
        <v>69</v>
      </c>
      <c r="E25" t="s">
        <v>70</v>
      </c>
      <c r="F25" t="s">
        <v>26</v>
      </c>
      <c r="G25" t="s">
        <v>27</v>
      </c>
      <c r="H25" s="1" t="s">
        <v>28</v>
      </c>
      <c r="I25" t="s">
        <v>29</v>
      </c>
      <c r="J25">
        <v>1</v>
      </c>
      <c r="K25">
        <v>561.54999999999995</v>
      </c>
      <c r="L25">
        <v>561.54999999999995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</v>
      </c>
      <c r="S25" t="s">
        <v>31</v>
      </c>
    </row>
    <row r="26" spans="1:19" x14ac:dyDescent="0.3">
      <c r="A26">
        <v>5037</v>
      </c>
      <c r="B26" t="s">
        <v>36</v>
      </c>
      <c r="C26" t="s">
        <v>23</v>
      </c>
      <c r="D26" t="s">
        <v>36</v>
      </c>
      <c r="E26" t="s">
        <v>71</v>
      </c>
      <c r="F26" t="s">
        <v>26</v>
      </c>
      <c r="G26" t="s">
        <v>27</v>
      </c>
      <c r="H26" s="1" t="s">
        <v>28</v>
      </c>
      <c r="I26" t="s">
        <v>35</v>
      </c>
      <c r="J26">
        <v>1</v>
      </c>
      <c r="K26">
        <v>523.80999999999995</v>
      </c>
      <c r="L26">
        <v>523.80999999999995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30</v>
      </c>
      <c r="S26" t="s">
        <v>31</v>
      </c>
    </row>
    <row r="27" spans="1:19" x14ac:dyDescent="0.3">
      <c r="A27">
        <v>5038</v>
      </c>
      <c r="B27" t="s">
        <v>36</v>
      </c>
      <c r="C27" t="s">
        <v>23</v>
      </c>
      <c r="D27" t="s">
        <v>36</v>
      </c>
      <c r="E27" t="s">
        <v>72</v>
      </c>
      <c r="F27" t="s">
        <v>26</v>
      </c>
      <c r="G27" t="s">
        <v>27</v>
      </c>
      <c r="H27" s="1" t="s">
        <v>28</v>
      </c>
      <c r="I27" t="s">
        <v>35</v>
      </c>
      <c r="J27">
        <v>4</v>
      </c>
      <c r="K27">
        <v>76.19</v>
      </c>
      <c r="L27">
        <v>304.76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</v>
      </c>
      <c r="S27" t="s">
        <v>31</v>
      </c>
    </row>
    <row r="28" spans="1:19" x14ac:dyDescent="0.3">
      <c r="A28">
        <v>5039</v>
      </c>
      <c r="B28" t="s">
        <v>39</v>
      </c>
      <c r="C28" t="s">
        <v>23</v>
      </c>
      <c r="D28" t="s">
        <v>59</v>
      </c>
      <c r="E28" t="s">
        <v>73</v>
      </c>
      <c r="F28" t="s">
        <v>26</v>
      </c>
      <c r="G28" t="s">
        <v>27</v>
      </c>
      <c r="H28" s="1" t="s">
        <v>28</v>
      </c>
      <c r="I28" t="s">
        <v>74</v>
      </c>
      <c r="J28">
        <v>23</v>
      </c>
      <c r="K28">
        <v>6.75</v>
      </c>
      <c r="L28">
        <v>155.28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30</v>
      </c>
      <c r="S28" t="s">
        <v>31</v>
      </c>
    </row>
    <row r="29" spans="1:19" x14ac:dyDescent="0.3">
      <c r="A29">
        <v>5040</v>
      </c>
      <c r="B29" t="s">
        <v>39</v>
      </c>
      <c r="C29" t="s">
        <v>23</v>
      </c>
      <c r="D29" t="s">
        <v>33</v>
      </c>
      <c r="E29" t="s">
        <v>75</v>
      </c>
      <c r="F29" t="s">
        <v>76</v>
      </c>
      <c r="G29" t="s">
        <v>27</v>
      </c>
      <c r="H29" s="1" t="s">
        <v>28</v>
      </c>
      <c r="I29" t="s">
        <v>29</v>
      </c>
      <c r="J29">
        <v>1</v>
      </c>
      <c r="K29">
        <v>14881.9</v>
      </c>
      <c r="L29">
        <v>14881.9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30</v>
      </c>
      <c r="S29" t="s">
        <v>31</v>
      </c>
    </row>
    <row r="30" spans="1:19" x14ac:dyDescent="0.3">
      <c r="A30">
        <v>5041</v>
      </c>
      <c r="B30" t="s">
        <v>39</v>
      </c>
      <c r="C30" t="s">
        <v>23</v>
      </c>
      <c r="D30" t="s">
        <v>77</v>
      </c>
      <c r="E30" t="s">
        <v>78</v>
      </c>
      <c r="F30" t="s">
        <v>76</v>
      </c>
      <c r="G30" t="s">
        <v>27</v>
      </c>
      <c r="H30" s="1" t="s">
        <v>28</v>
      </c>
      <c r="I30" t="s">
        <v>29</v>
      </c>
      <c r="J30">
        <v>1</v>
      </c>
      <c r="K30">
        <v>14285.71</v>
      </c>
      <c r="L30">
        <v>14285.71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30</v>
      </c>
      <c r="S30" t="s">
        <v>31</v>
      </c>
    </row>
    <row r="31" spans="1:19" x14ac:dyDescent="0.3">
      <c r="A31">
        <v>5042</v>
      </c>
      <c r="B31" t="s">
        <v>39</v>
      </c>
      <c r="C31" t="s">
        <v>23</v>
      </c>
      <c r="D31" t="s">
        <v>79</v>
      </c>
      <c r="E31" t="s">
        <v>80</v>
      </c>
      <c r="F31" t="s">
        <v>76</v>
      </c>
      <c r="G31" t="s">
        <v>27</v>
      </c>
      <c r="H31" s="1" t="s">
        <v>28</v>
      </c>
      <c r="I31" t="s">
        <v>74</v>
      </c>
      <c r="J31">
        <v>20</v>
      </c>
      <c r="K31">
        <v>605.39</v>
      </c>
      <c r="L31">
        <v>12107.83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30</v>
      </c>
      <c r="S31" t="s">
        <v>31</v>
      </c>
    </row>
    <row r="32" spans="1:19" x14ac:dyDescent="0.3">
      <c r="A32">
        <v>5043</v>
      </c>
      <c r="B32" t="s">
        <v>39</v>
      </c>
      <c r="C32" t="s">
        <v>23</v>
      </c>
      <c r="D32" t="s">
        <v>77</v>
      </c>
      <c r="E32" t="s">
        <v>81</v>
      </c>
      <c r="F32" t="s">
        <v>76</v>
      </c>
      <c r="G32" t="s">
        <v>27</v>
      </c>
      <c r="H32" s="1" t="s">
        <v>28</v>
      </c>
      <c r="I32" t="s">
        <v>29</v>
      </c>
      <c r="J32">
        <v>1</v>
      </c>
      <c r="K32">
        <v>9291.41</v>
      </c>
      <c r="L32">
        <v>9291.41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30</v>
      </c>
      <c r="S32" t="s">
        <v>31</v>
      </c>
    </row>
    <row r="33" spans="1:19" x14ac:dyDescent="0.3">
      <c r="A33">
        <v>5044</v>
      </c>
      <c r="B33" t="s">
        <v>39</v>
      </c>
      <c r="C33" t="s">
        <v>23</v>
      </c>
      <c r="D33" t="s">
        <v>77</v>
      </c>
      <c r="E33" t="s">
        <v>82</v>
      </c>
      <c r="F33" t="s">
        <v>76</v>
      </c>
      <c r="G33" t="s">
        <v>27</v>
      </c>
      <c r="H33" s="1" t="s">
        <v>28</v>
      </c>
      <c r="I33" t="s">
        <v>29</v>
      </c>
      <c r="J33">
        <v>1</v>
      </c>
      <c r="K33">
        <v>8965.49</v>
      </c>
      <c r="L33">
        <v>8965.49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30</v>
      </c>
      <c r="S33" t="s">
        <v>31</v>
      </c>
    </row>
    <row r="34" spans="1:19" x14ac:dyDescent="0.3">
      <c r="A34">
        <v>5045</v>
      </c>
      <c r="B34" t="s">
        <v>39</v>
      </c>
      <c r="C34" t="s">
        <v>23</v>
      </c>
      <c r="D34" t="s">
        <v>33</v>
      </c>
      <c r="E34" t="s">
        <v>83</v>
      </c>
      <c r="F34" t="s">
        <v>76</v>
      </c>
      <c r="G34" t="s">
        <v>27</v>
      </c>
      <c r="H34" s="1" t="s">
        <v>28</v>
      </c>
      <c r="I34" t="s">
        <v>29</v>
      </c>
      <c r="J34">
        <v>1</v>
      </c>
      <c r="K34">
        <v>7619.05</v>
      </c>
      <c r="L34">
        <v>7619.05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30</v>
      </c>
      <c r="S34" t="s">
        <v>31</v>
      </c>
    </row>
    <row r="35" spans="1:19" x14ac:dyDescent="0.3">
      <c r="A35">
        <v>5046</v>
      </c>
      <c r="B35" t="s">
        <v>22</v>
      </c>
      <c r="C35" t="s">
        <v>23</v>
      </c>
      <c r="D35" t="s">
        <v>24</v>
      </c>
      <c r="E35" t="s">
        <v>25</v>
      </c>
      <c r="F35" t="s">
        <v>76</v>
      </c>
      <c r="G35" t="s">
        <v>27</v>
      </c>
      <c r="H35" s="1" t="s">
        <v>28</v>
      </c>
      <c r="I35" t="s">
        <v>29</v>
      </c>
      <c r="J35">
        <v>1</v>
      </c>
      <c r="K35">
        <v>5000</v>
      </c>
      <c r="L35">
        <v>5000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30</v>
      </c>
      <c r="S35" t="s">
        <v>31</v>
      </c>
    </row>
    <row r="36" spans="1:19" x14ac:dyDescent="0.3">
      <c r="A36">
        <v>5047</v>
      </c>
      <c r="B36" t="s">
        <v>39</v>
      </c>
      <c r="C36" t="s">
        <v>23</v>
      </c>
      <c r="D36" t="s">
        <v>79</v>
      </c>
      <c r="E36" t="s">
        <v>84</v>
      </c>
      <c r="F36" t="s">
        <v>76</v>
      </c>
      <c r="G36" t="s">
        <v>27</v>
      </c>
      <c r="H36" s="1" t="s">
        <v>28</v>
      </c>
      <c r="I36" t="s">
        <v>35</v>
      </c>
      <c r="J36">
        <v>2</v>
      </c>
      <c r="K36">
        <v>2349.17</v>
      </c>
      <c r="L36">
        <v>4698.3500000000004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30</v>
      </c>
      <c r="S36" t="s">
        <v>31</v>
      </c>
    </row>
    <row r="37" spans="1:19" x14ac:dyDescent="0.3">
      <c r="A37">
        <v>5048</v>
      </c>
      <c r="B37" t="s">
        <v>39</v>
      </c>
      <c r="C37" t="s">
        <v>23</v>
      </c>
      <c r="D37" t="s">
        <v>77</v>
      </c>
      <c r="E37" t="s">
        <v>85</v>
      </c>
      <c r="F37" t="s">
        <v>76</v>
      </c>
      <c r="G37" t="s">
        <v>27</v>
      </c>
      <c r="H37" s="1" t="s">
        <v>28</v>
      </c>
      <c r="I37" t="s">
        <v>29</v>
      </c>
      <c r="J37">
        <v>1</v>
      </c>
      <c r="K37">
        <v>3809.52</v>
      </c>
      <c r="L37">
        <v>3809.52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30</v>
      </c>
      <c r="S37" t="s">
        <v>31</v>
      </c>
    </row>
    <row r="38" spans="1:19" x14ac:dyDescent="0.3">
      <c r="A38">
        <v>5049</v>
      </c>
      <c r="B38" t="s">
        <v>39</v>
      </c>
      <c r="C38" t="s">
        <v>23</v>
      </c>
      <c r="D38" t="s">
        <v>77</v>
      </c>
      <c r="E38" t="s">
        <v>86</v>
      </c>
      <c r="F38" t="s">
        <v>76</v>
      </c>
      <c r="G38" t="s">
        <v>27</v>
      </c>
      <c r="H38" s="1" t="s">
        <v>28</v>
      </c>
      <c r="I38" t="s">
        <v>29</v>
      </c>
      <c r="J38">
        <v>1</v>
      </c>
      <c r="K38">
        <v>2666.67</v>
      </c>
      <c r="L38">
        <v>2666.67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30</v>
      </c>
      <c r="S38" t="s">
        <v>31</v>
      </c>
    </row>
    <row r="39" spans="1:19" x14ac:dyDescent="0.3">
      <c r="A39">
        <v>5050</v>
      </c>
      <c r="B39" t="s">
        <v>39</v>
      </c>
      <c r="C39" t="s">
        <v>23</v>
      </c>
      <c r="D39" t="s">
        <v>79</v>
      </c>
      <c r="E39" t="s">
        <v>87</v>
      </c>
      <c r="F39" t="s">
        <v>76</v>
      </c>
      <c r="G39" t="s">
        <v>27</v>
      </c>
      <c r="H39" s="1" t="s">
        <v>28</v>
      </c>
      <c r="I39" t="s">
        <v>35</v>
      </c>
      <c r="J39">
        <v>5</v>
      </c>
      <c r="K39">
        <v>452.16</v>
      </c>
      <c r="L39">
        <v>2260.8200000000002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30</v>
      </c>
      <c r="S39" t="s">
        <v>31</v>
      </c>
    </row>
    <row r="40" spans="1:19" x14ac:dyDescent="0.3">
      <c r="A40">
        <v>5051</v>
      </c>
      <c r="B40" t="s">
        <v>42</v>
      </c>
      <c r="C40" t="s">
        <v>23</v>
      </c>
      <c r="D40" t="s">
        <v>43</v>
      </c>
      <c r="E40" t="s">
        <v>88</v>
      </c>
      <c r="F40" t="s">
        <v>76</v>
      </c>
      <c r="G40" t="s">
        <v>27</v>
      </c>
      <c r="H40" s="1" t="s">
        <v>28</v>
      </c>
      <c r="I40" t="s">
        <v>29</v>
      </c>
      <c r="J40">
        <v>1</v>
      </c>
      <c r="K40">
        <v>2234.6</v>
      </c>
      <c r="L40">
        <v>2234.6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30</v>
      </c>
      <c r="S40" t="s">
        <v>31</v>
      </c>
    </row>
    <row r="41" spans="1:19" x14ac:dyDescent="0.3">
      <c r="A41">
        <v>5052</v>
      </c>
      <c r="B41" t="s">
        <v>39</v>
      </c>
      <c r="C41" t="s">
        <v>23</v>
      </c>
      <c r="D41" t="s">
        <v>77</v>
      </c>
      <c r="E41" t="s">
        <v>89</v>
      </c>
      <c r="F41" t="s">
        <v>76</v>
      </c>
      <c r="G41" t="s">
        <v>27</v>
      </c>
      <c r="H41" s="1" t="s">
        <v>28</v>
      </c>
      <c r="I41" t="s">
        <v>29</v>
      </c>
      <c r="J41">
        <v>1</v>
      </c>
      <c r="K41">
        <v>2092.13</v>
      </c>
      <c r="L41">
        <v>2092.13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30</v>
      </c>
      <c r="S41" t="s">
        <v>31</v>
      </c>
    </row>
    <row r="42" spans="1:19" x14ac:dyDescent="0.3">
      <c r="A42">
        <v>5053</v>
      </c>
      <c r="B42" t="s">
        <v>39</v>
      </c>
      <c r="C42" t="s">
        <v>23</v>
      </c>
      <c r="D42" t="s">
        <v>69</v>
      </c>
      <c r="E42" t="s">
        <v>90</v>
      </c>
      <c r="F42" t="s">
        <v>76</v>
      </c>
      <c r="G42" t="s">
        <v>27</v>
      </c>
      <c r="H42" s="1" t="s">
        <v>28</v>
      </c>
      <c r="I42" t="s">
        <v>29</v>
      </c>
      <c r="J42">
        <v>1</v>
      </c>
      <c r="K42">
        <v>1841.69</v>
      </c>
      <c r="L42">
        <v>1841.69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30</v>
      </c>
      <c r="S42" t="s">
        <v>31</v>
      </c>
    </row>
    <row r="43" spans="1:19" x14ac:dyDescent="0.3">
      <c r="A43">
        <v>5054</v>
      </c>
      <c r="B43" t="s">
        <v>39</v>
      </c>
      <c r="C43" t="s">
        <v>23</v>
      </c>
      <c r="D43" t="s">
        <v>77</v>
      </c>
      <c r="E43" t="s">
        <v>91</v>
      </c>
      <c r="F43" t="s">
        <v>76</v>
      </c>
      <c r="G43" t="s">
        <v>27</v>
      </c>
      <c r="H43" s="1" t="s">
        <v>28</v>
      </c>
      <c r="I43" t="s">
        <v>29</v>
      </c>
      <c r="J43">
        <v>1</v>
      </c>
      <c r="K43">
        <v>1838.57</v>
      </c>
      <c r="L43">
        <v>1838.57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30</v>
      </c>
      <c r="S43" t="s">
        <v>31</v>
      </c>
    </row>
    <row r="44" spans="1:19" x14ac:dyDescent="0.3">
      <c r="A44">
        <v>5055</v>
      </c>
      <c r="B44" t="s">
        <v>39</v>
      </c>
      <c r="C44" t="s">
        <v>23</v>
      </c>
      <c r="D44" t="s">
        <v>77</v>
      </c>
      <c r="E44" t="s">
        <v>92</v>
      </c>
      <c r="F44" t="s">
        <v>76</v>
      </c>
      <c r="G44" t="s">
        <v>27</v>
      </c>
      <c r="H44" s="1" t="s">
        <v>28</v>
      </c>
      <c r="I44" t="s">
        <v>29</v>
      </c>
      <c r="J44">
        <v>1</v>
      </c>
      <c r="K44">
        <v>1706.84</v>
      </c>
      <c r="L44">
        <v>1706.84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30</v>
      </c>
      <c r="S44" t="s">
        <v>31</v>
      </c>
    </row>
    <row r="45" spans="1:19" x14ac:dyDescent="0.3">
      <c r="A45">
        <v>5056</v>
      </c>
      <c r="B45" t="s">
        <v>39</v>
      </c>
      <c r="C45" t="s">
        <v>23</v>
      </c>
      <c r="D45" t="s">
        <v>69</v>
      </c>
      <c r="E45" t="s">
        <v>93</v>
      </c>
      <c r="F45" t="s">
        <v>76</v>
      </c>
      <c r="G45" t="s">
        <v>27</v>
      </c>
      <c r="H45" s="1" t="s">
        <v>28</v>
      </c>
      <c r="I45" t="s">
        <v>52</v>
      </c>
      <c r="J45">
        <v>54</v>
      </c>
      <c r="K45">
        <v>30.41</v>
      </c>
      <c r="L45">
        <v>1642.01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30</v>
      </c>
      <c r="S45" t="s">
        <v>31</v>
      </c>
    </row>
    <row r="46" spans="1:19" x14ac:dyDescent="0.3">
      <c r="A46">
        <v>5057</v>
      </c>
      <c r="B46" t="s">
        <v>36</v>
      </c>
      <c r="C46" t="s">
        <v>23</v>
      </c>
      <c r="D46" t="s">
        <v>36</v>
      </c>
      <c r="E46" t="s">
        <v>94</v>
      </c>
      <c r="F46" t="s">
        <v>76</v>
      </c>
      <c r="G46" t="s">
        <v>27</v>
      </c>
      <c r="H46" s="1" t="s">
        <v>28</v>
      </c>
      <c r="I46" t="s">
        <v>35</v>
      </c>
      <c r="J46">
        <v>4</v>
      </c>
      <c r="K46">
        <v>380.95</v>
      </c>
      <c r="L46">
        <v>1523.81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30</v>
      </c>
      <c r="S46" t="s">
        <v>31</v>
      </c>
    </row>
    <row r="47" spans="1:19" x14ac:dyDescent="0.3">
      <c r="A47">
        <v>5058</v>
      </c>
      <c r="B47" t="s">
        <v>39</v>
      </c>
      <c r="C47" t="s">
        <v>23</v>
      </c>
      <c r="D47" t="s">
        <v>79</v>
      </c>
      <c r="E47" t="s">
        <v>95</v>
      </c>
      <c r="F47" t="s">
        <v>76</v>
      </c>
      <c r="G47" t="s">
        <v>27</v>
      </c>
      <c r="H47" s="1" t="s">
        <v>28</v>
      </c>
      <c r="I47" t="s">
        <v>74</v>
      </c>
      <c r="J47">
        <v>15</v>
      </c>
      <c r="K47">
        <v>77.27</v>
      </c>
      <c r="L47">
        <v>1159.04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30</v>
      </c>
      <c r="S47" t="s">
        <v>31</v>
      </c>
    </row>
    <row r="48" spans="1:19" x14ac:dyDescent="0.3">
      <c r="A48">
        <v>5059</v>
      </c>
      <c r="B48" t="s">
        <v>36</v>
      </c>
      <c r="C48" t="s">
        <v>23</v>
      </c>
      <c r="D48" t="s">
        <v>36</v>
      </c>
      <c r="E48" t="s">
        <v>96</v>
      </c>
      <c r="F48" t="s">
        <v>76</v>
      </c>
      <c r="G48" t="s">
        <v>27</v>
      </c>
      <c r="H48" s="1" t="s">
        <v>28</v>
      </c>
      <c r="I48" t="s">
        <v>35</v>
      </c>
      <c r="J48">
        <v>1</v>
      </c>
      <c r="K48">
        <v>1142.8599999999999</v>
      </c>
      <c r="L48">
        <v>1142.8599999999999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30</v>
      </c>
      <c r="S48" t="s">
        <v>31</v>
      </c>
    </row>
    <row r="49" spans="1:19" x14ac:dyDescent="0.3">
      <c r="A49">
        <v>5060</v>
      </c>
      <c r="B49" t="s">
        <v>39</v>
      </c>
      <c r="C49" t="s">
        <v>23</v>
      </c>
      <c r="D49" t="s">
        <v>69</v>
      </c>
      <c r="E49" t="s">
        <v>97</v>
      </c>
      <c r="F49" t="s">
        <v>76</v>
      </c>
      <c r="G49" t="s">
        <v>27</v>
      </c>
      <c r="H49" s="1" t="s">
        <v>28</v>
      </c>
      <c r="I49" t="s">
        <v>29</v>
      </c>
      <c r="J49">
        <v>1</v>
      </c>
      <c r="K49">
        <v>1071.24</v>
      </c>
      <c r="L49">
        <v>1071.24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30</v>
      </c>
      <c r="S49" t="s">
        <v>31</v>
      </c>
    </row>
    <row r="50" spans="1:19" x14ac:dyDescent="0.3">
      <c r="A50">
        <v>5061</v>
      </c>
      <c r="B50" t="s">
        <v>39</v>
      </c>
      <c r="C50" t="s">
        <v>23</v>
      </c>
      <c r="D50" t="s">
        <v>98</v>
      </c>
      <c r="E50" t="s">
        <v>99</v>
      </c>
      <c r="F50" t="s">
        <v>76</v>
      </c>
      <c r="G50" t="s">
        <v>27</v>
      </c>
      <c r="H50" s="1" t="s">
        <v>28</v>
      </c>
      <c r="I50" t="s">
        <v>35</v>
      </c>
      <c r="J50">
        <v>1</v>
      </c>
      <c r="K50">
        <v>922.38</v>
      </c>
      <c r="L50">
        <v>922.38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30</v>
      </c>
      <c r="S50" t="s">
        <v>31</v>
      </c>
    </row>
    <row r="51" spans="1:19" x14ac:dyDescent="0.3">
      <c r="A51">
        <v>5062</v>
      </c>
      <c r="B51" t="s">
        <v>36</v>
      </c>
      <c r="C51" t="s">
        <v>23</v>
      </c>
      <c r="D51" t="s">
        <v>36</v>
      </c>
      <c r="E51" t="s">
        <v>100</v>
      </c>
      <c r="F51" t="s">
        <v>76</v>
      </c>
      <c r="G51" t="s">
        <v>27</v>
      </c>
      <c r="H51" s="1" t="s">
        <v>28</v>
      </c>
      <c r="I51" t="s">
        <v>35</v>
      </c>
      <c r="J51">
        <v>1</v>
      </c>
      <c r="K51">
        <v>904.76</v>
      </c>
      <c r="L51">
        <v>904.76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30</v>
      </c>
      <c r="S51" t="s">
        <v>31</v>
      </c>
    </row>
    <row r="52" spans="1:19" x14ac:dyDescent="0.3">
      <c r="A52">
        <v>5063</v>
      </c>
      <c r="B52" t="s">
        <v>39</v>
      </c>
      <c r="C52" t="s">
        <v>23</v>
      </c>
      <c r="D52" t="s">
        <v>77</v>
      </c>
      <c r="E52" t="s">
        <v>101</v>
      </c>
      <c r="F52" t="s">
        <v>76</v>
      </c>
      <c r="G52" t="s">
        <v>27</v>
      </c>
      <c r="H52" s="1" t="s">
        <v>28</v>
      </c>
      <c r="I52" t="s">
        <v>29</v>
      </c>
      <c r="J52">
        <v>1</v>
      </c>
      <c r="K52">
        <v>826.3</v>
      </c>
      <c r="L52">
        <v>826.3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30</v>
      </c>
      <c r="S52" t="s">
        <v>31</v>
      </c>
    </row>
    <row r="53" spans="1:19" x14ac:dyDescent="0.3">
      <c r="A53">
        <v>5064</v>
      </c>
      <c r="B53" t="s">
        <v>39</v>
      </c>
      <c r="C53" t="s">
        <v>23</v>
      </c>
      <c r="D53" t="s">
        <v>77</v>
      </c>
      <c r="E53" t="s">
        <v>85</v>
      </c>
      <c r="F53" t="s">
        <v>76</v>
      </c>
      <c r="G53" t="s">
        <v>27</v>
      </c>
      <c r="H53" s="1" t="s">
        <v>28</v>
      </c>
      <c r="I53" t="s">
        <v>52</v>
      </c>
      <c r="J53">
        <v>80</v>
      </c>
      <c r="K53">
        <v>8.36</v>
      </c>
      <c r="L53">
        <v>668.57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30</v>
      </c>
      <c r="S53" t="s">
        <v>31</v>
      </c>
    </row>
    <row r="54" spans="1:19" x14ac:dyDescent="0.3">
      <c r="A54">
        <v>5065</v>
      </c>
      <c r="B54" t="s">
        <v>36</v>
      </c>
      <c r="C54" t="s">
        <v>23</v>
      </c>
      <c r="D54" t="s">
        <v>36</v>
      </c>
      <c r="E54" t="s">
        <v>102</v>
      </c>
      <c r="F54" t="s">
        <v>76</v>
      </c>
      <c r="G54" t="s">
        <v>27</v>
      </c>
      <c r="H54" s="1" t="s">
        <v>28</v>
      </c>
      <c r="I54" t="s">
        <v>35</v>
      </c>
      <c r="J54">
        <v>1</v>
      </c>
      <c r="K54">
        <v>476.19</v>
      </c>
      <c r="L54">
        <v>476.19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30</v>
      </c>
      <c r="S54" t="s">
        <v>31</v>
      </c>
    </row>
    <row r="55" spans="1:19" x14ac:dyDescent="0.3">
      <c r="A55">
        <v>5066</v>
      </c>
      <c r="B55" t="s">
        <v>42</v>
      </c>
      <c r="C55" t="s">
        <v>23</v>
      </c>
      <c r="D55" t="s">
        <v>43</v>
      </c>
      <c r="E55" t="s">
        <v>103</v>
      </c>
      <c r="F55" t="s">
        <v>76</v>
      </c>
      <c r="G55" t="s">
        <v>27</v>
      </c>
      <c r="H55" s="1" t="s">
        <v>28</v>
      </c>
      <c r="I55" t="s">
        <v>29</v>
      </c>
      <c r="J55">
        <v>1</v>
      </c>
      <c r="K55">
        <v>457.93</v>
      </c>
      <c r="L55">
        <v>457.93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30</v>
      </c>
      <c r="S55" t="s">
        <v>31</v>
      </c>
    </row>
    <row r="56" spans="1:19" x14ac:dyDescent="0.3">
      <c r="A56">
        <v>5067</v>
      </c>
      <c r="B56" t="s">
        <v>39</v>
      </c>
      <c r="C56" t="s">
        <v>23</v>
      </c>
      <c r="D56" t="s">
        <v>77</v>
      </c>
      <c r="E56" t="s">
        <v>104</v>
      </c>
      <c r="F56" t="s">
        <v>76</v>
      </c>
      <c r="G56" t="s">
        <v>27</v>
      </c>
      <c r="H56" s="1" t="s">
        <v>28</v>
      </c>
      <c r="I56" t="s">
        <v>29</v>
      </c>
      <c r="J56">
        <v>1</v>
      </c>
      <c r="K56">
        <v>455.62</v>
      </c>
      <c r="L56">
        <v>455.62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30</v>
      </c>
      <c r="S56" t="s">
        <v>31</v>
      </c>
    </row>
    <row r="57" spans="1:19" x14ac:dyDescent="0.3">
      <c r="A57">
        <v>5068</v>
      </c>
      <c r="B57" t="s">
        <v>39</v>
      </c>
      <c r="C57" t="s">
        <v>23</v>
      </c>
      <c r="D57" t="s">
        <v>69</v>
      </c>
      <c r="E57" t="s">
        <v>105</v>
      </c>
      <c r="F57" t="s">
        <v>76</v>
      </c>
      <c r="G57" t="s">
        <v>27</v>
      </c>
      <c r="H57" s="1" t="s">
        <v>28</v>
      </c>
      <c r="I57" t="s">
        <v>29</v>
      </c>
      <c r="J57">
        <v>1</v>
      </c>
      <c r="K57">
        <v>344.19</v>
      </c>
      <c r="L57">
        <v>344.19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30</v>
      </c>
      <c r="S57" t="s">
        <v>31</v>
      </c>
    </row>
    <row r="58" spans="1:19" x14ac:dyDescent="0.3">
      <c r="A58">
        <v>5069</v>
      </c>
      <c r="B58" t="s">
        <v>39</v>
      </c>
      <c r="C58" t="s">
        <v>23</v>
      </c>
      <c r="D58" t="s">
        <v>79</v>
      </c>
      <c r="E58" t="s">
        <v>106</v>
      </c>
      <c r="F58" t="s">
        <v>76</v>
      </c>
      <c r="G58" t="s">
        <v>27</v>
      </c>
      <c r="H58" s="1" t="s">
        <v>28</v>
      </c>
      <c r="I58" t="s">
        <v>29</v>
      </c>
      <c r="J58">
        <v>1</v>
      </c>
      <c r="K58">
        <v>344.19</v>
      </c>
      <c r="L58">
        <v>344.19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30</v>
      </c>
      <c r="S58" t="s">
        <v>31</v>
      </c>
    </row>
    <row r="59" spans="1:19" x14ac:dyDescent="0.3">
      <c r="A59">
        <v>5070</v>
      </c>
      <c r="B59" t="s">
        <v>36</v>
      </c>
      <c r="C59" t="s">
        <v>23</v>
      </c>
      <c r="D59" t="s">
        <v>36</v>
      </c>
      <c r="E59" t="s">
        <v>107</v>
      </c>
      <c r="F59" t="s">
        <v>76</v>
      </c>
      <c r="G59" t="s">
        <v>27</v>
      </c>
      <c r="H59" s="1" t="s">
        <v>28</v>
      </c>
      <c r="I59" t="s">
        <v>35</v>
      </c>
      <c r="J59">
        <v>1</v>
      </c>
      <c r="K59">
        <v>333.33</v>
      </c>
      <c r="L59">
        <v>333.33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30</v>
      </c>
      <c r="S59" t="s">
        <v>31</v>
      </c>
    </row>
    <row r="60" spans="1:19" x14ac:dyDescent="0.3">
      <c r="A60">
        <v>5071</v>
      </c>
      <c r="B60" t="s">
        <v>39</v>
      </c>
      <c r="C60" t="s">
        <v>23</v>
      </c>
      <c r="D60" t="s">
        <v>77</v>
      </c>
      <c r="E60" t="s">
        <v>108</v>
      </c>
      <c r="F60" t="s">
        <v>76</v>
      </c>
      <c r="G60" t="s">
        <v>27</v>
      </c>
      <c r="H60" s="1" t="s">
        <v>28</v>
      </c>
      <c r="I60" t="s">
        <v>29</v>
      </c>
      <c r="J60">
        <v>1</v>
      </c>
      <c r="K60">
        <v>284.14</v>
      </c>
      <c r="L60">
        <v>284.14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30</v>
      </c>
      <c r="S60" t="s">
        <v>31</v>
      </c>
    </row>
    <row r="61" spans="1:19" x14ac:dyDescent="0.3">
      <c r="A61">
        <v>5072</v>
      </c>
      <c r="B61" t="s">
        <v>39</v>
      </c>
      <c r="C61" t="s">
        <v>23</v>
      </c>
      <c r="D61" t="s">
        <v>109</v>
      </c>
      <c r="E61" t="s">
        <v>110</v>
      </c>
      <c r="F61" t="s">
        <v>111</v>
      </c>
      <c r="G61" t="s">
        <v>27</v>
      </c>
      <c r="H61" s="1" t="s">
        <v>28</v>
      </c>
      <c r="I61" t="s">
        <v>112</v>
      </c>
      <c r="J61">
        <v>11578.28</v>
      </c>
      <c r="K61">
        <v>3.33</v>
      </c>
      <c r="L61">
        <v>38594.269999999997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30</v>
      </c>
      <c r="S61" t="s">
        <v>31</v>
      </c>
    </row>
    <row r="62" spans="1:19" x14ac:dyDescent="0.3">
      <c r="A62">
        <v>5073</v>
      </c>
      <c r="B62" t="s">
        <v>36</v>
      </c>
      <c r="C62" t="s">
        <v>23</v>
      </c>
      <c r="D62" t="s">
        <v>36</v>
      </c>
      <c r="E62" t="s">
        <v>113</v>
      </c>
      <c r="F62" t="s">
        <v>111</v>
      </c>
      <c r="G62" t="s">
        <v>27</v>
      </c>
      <c r="H62" s="1" t="s">
        <v>28</v>
      </c>
      <c r="I62" t="s">
        <v>35</v>
      </c>
      <c r="J62">
        <v>1</v>
      </c>
      <c r="K62">
        <v>35238.1</v>
      </c>
      <c r="L62">
        <v>35238.1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30</v>
      </c>
      <c r="S62" t="s">
        <v>31</v>
      </c>
    </row>
    <row r="63" spans="1:19" x14ac:dyDescent="0.3">
      <c r="A63">
        <v>5074</v>
      </c>
      <c r="B63" t="s">
        <v>42</v>
      </c>
      <c r="C63" t="s">
        <v>23</v>
      </c>
      <c r="D63" t="s">
        <v>43</v>
      </c>
      <c r="E63" t="s">
        <v>114</v>
      </c>
      <c r="F63" t="s">
        <v>111</v>
      </c>
      <c r="G63" t="s">
        <v>27</v>
      </c>
      <c r="H63" s="1" t="s">
        <v>28</v>
      </c>
      <c r="I63" t="s">
        <v>29</v>
      </c>
      <c r="J63">
        <v>1</v>
      </c>
      <c r="K63">
        <v>20748.009999999998</v>
      </c>
      <c r="L63">
        <v>20748.009999999998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30</v>
      </c>
      <c r="S63" t="s">
        <v>31</v>
      </c>
    </row>
    <row r="64" spans="1:19" x14ac:dyDescent="0.3">
      <c r="A64">
        <v>5075</v>
      </c>
      <c r="B64" t="s">
        <v>22</v>
      </c>
      <c r="C64" t="s">
        <v>23</v>
      </c>
      <c r="D64" t="s">
        <v>24</v>
      </c>
      <c r="E64" t="s">
        <v>25</v>
      </c>
      <c r="F64" t="s">
        <v>111</v>
      </c>
      <c r="G64" t="s">
        <v>27</v>
      </c>
      <c r="H64" s="1" t="s">
        <v>28</v>
      </c>
      <c r="I64" t="s">
        <v>29</v>
      </c>
      <c r="J64">
        <v>1</v>
      </c>
      <c r="K64">
        <v>20000</v>
      </c>
      <c r="L64">
        <v>20000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30</v>
      </c>
      <c r="S64" t="s">
        <v>31</v>
      </c>
    </row>
    <row r="65" spans="1:19" x14ac:dyDescent="0.3">
      <c r="A65">
        <v>5076</v>
      </c>
      <c r="B65" t="s">
        <v>36</v>
      </c>
      <c r="C65" t="s">
        <v>23</v>
      </c>
      <c r="D65" t="s">
        <v>36</v>
      </c>
      <c r="E65" t="s">
        <v>115</v>
      </c>
      <c r="F65" t="s">
        <v>111</v>
      </c>
      <c r="G65" t="s">
        <v>27</v>
      </c>
      <c r="H65" s="1" t="s">
        <v>28</v>
      </c>
      <c r="I65" t="s">
        <v>35</v>
      </c>
      <c r="J65">
        <v>79</v>
      </c>
      <c r="K65">
        <v>238.1</v>
      </c>
      <c r="L65">
        <v>18809.52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30</v>
      </c>
      <c r="S65" t="s">
        <v>31</v>
      </c>
    </row>
    <row r="66" spans="1:19" x14ac:dyDescent="0.3">
      <c r="A66">
        <v>5077</v>
      </c>
      <c r="B66" t="s">
        <v>36</v>
      </c>
      <c r="C66" t="s">
        <v>23</v>
      </c>
      <c r="D66" t="s">
        <v>36</v>
      </c>
      <c r="E66" t="s">
        <v>116</v>
      </c>
      <c r="F66" t="s">
        <v>111</v>
      </c>
      <c r="G66" t="s">
        <v>27</v>
      </c>
      <c r="H66" s="1" t="s">
        <v>28</v>
      </c>
      <c r="I66" t="s">
        <v>35</v>
      </c>
      <c r="J66">
        <v>2</v>
      </c>
      <c r="K66">
        <v>7809.52</v>
      </c>
      <c r="L66">
        <v>15619.05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30</v>
      </c>
      <c r="S66" t="s">
        <v>31</v>
      </c>
    </row>
    <row r="67" spans="1:19" x14ac:dyDescent="0.3">
      <c r="A67">
        <v>5078</v>
      </c>
      <c r="B67" t="s">
        <v>39</v>
      </c>
      <c r="C67" t="s">
        <v>23</v>
      </c>
      <c r="D67" t="s">
        <v>47</v>
      </c>
      <c r="E67" t="s">
        <v>117</v>
      </c>
      <c r="F67" t="s">
        <v>111</v>
      </c>
      <c r="G67" t="s">
        <v>27</v>
      </c>
      <c r="H67" s="1" t="s">
        <v>28</v>
      </c>
      <c r="I67" t="s">
        <v>29</v>
      </c>
      <c r="J67">
        <v>1</v>
      </c>
      <c r="K67">
        <v>14285.71</v>
      </c>
      <c r="L67">
        <v>14285.71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30</v>
      </c>
      <c r="S67" t="s">
        <v>31</v>
      </c>
    </row>
    <row r="68" spans="1:19" x14ac:dyDescent="0.3">
      <c r="A68">
        <v>5079</v>
      </c>
      <c r="B68" t="s">
        <v>39</v>
      </c>
      <c r="C68" t="s">
        <v>23</v>
      </c>
      <c r="D68" t="s">
        <v>50</v>
      </c>
      <c r="E68" t="s">
        <v>118</v>
      </c>
      <c r="F68" t="s">
        <v>111</v>
      </c>
      <c r="G68" t="s">
        <v>27</v>
      </c>
      <c r="H68" s="1" t="s">
        <v>28</v>
      </c>
      <c r="I68" t="s">
        <v>52</v>
      </c>
      <c r="J68">
        <v>289.58</v>
      </c>
      <c r="K68">
        <v>36.1</v>
      </c>
      <c r="L68">
        <v>10452.459999999999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30</v>
      </c>
      <c r="S68" t="s">
        <v>31</v>
      </c>
    </row>
    <row r="69" spans="1:19" x14ac:dyDescent="0.3">
      <c r="A69">
        <v>5080</v>
      </c>
      <c r="B69" t="s">
        <v>39</v>
      </c>
      <c r="C69" t="s">
        <v>23</v>
      </c>
      <c r="D69" t="s">
        <v>109</v>
      </c>
      <c r="E69" t="s">
        <v>119</v>
      </c>
      <c r="F69" t="s">
        <v>111</v>
      </c>
      <c r="G69" t="s">
        <v>27</v>
      </c>
      <c r="H69" s="1" t="s">
        <v>28</v>
      </c>
      <c r="I69" t="s">
        <v>112</v>
      </c>
      <c r="J69">
        <v>2948.21</v>
      </c>
      <c r="K69">
        <v>3.33</v>
      </c>
      <c r="L69">
        <v>9827.3700000000008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30</v>
      </c>
      <c r="S69" t="s">
        <v>31</v>
      </c>
    </row>
    <row r="70" spans="1:19" x14ac:dyDescent="0.3">
      <c r="A70">
        <v>5081</v>
      </c>
      <c r="B70" t="s">
        <v>39</v>
      </c>
      <c r="C70" t="s">
        <v>23</v>
      </c>
      <c r="D70" t="s">
        <v>109</v>
      </c>
      <c r="E70" t="s">
        <v>120</v>
      </c>
      <c r="F70" t="s">
        <v>111</v>
      </c>
      <c r="G70" t="s">
        <v>27</v>
      </c>
      <c r="H70" s="1" t="s">
        <v>28</v>
      </c>
      <c r="I70" t="s">
        <v>121</v>
      </c>
      <c r="J70">
        <v>35.01</v>
      </c>
      <c r="K70">
        <v>278.10000000000002</v>
      </c>
      <c r="L70">
        <v>9736.11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30</v>
      </c>
      <c r="S70" t="s">
        <v>31</v>
      </c>
    </row>
    <row r="71" spans="1:19" x14ac:dyDescent="0.3">
      <c r="A71">
        <v>5082</v>
      </c>
      <c r="B71" t="s">
        <v>36</v>
      </c>
      <c r="C71" t="s">
        <v>23</v>
      </c>
      <c r="D71" t="s">
        <v>36</v>
      </c>
      <c r="E71" t="s">
        <v>122</v>
      </c>
      <c r="F71" t="s">
        <v>111</v>
      </c>
      <c r="G71" t="s">
        <v>27</v>
      </c>
      <c r="H71" s="1" t="s">
        <v>28</v>
      </c>
      <c r="I71" t="s">
        <v>35</v>
      </c>
      <c r="J71">
        <v>2</v>
      </c>
      <c r="K71">
        <v>4761.8999999999996</v>
      </c>
      <c r="L71">
        <v>9523.81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30</v>
      </c>
      <c r="S71" t="s">
        <v>31</v>
      </c>
    </row>
    <row r="72" spans="1:19" x14ac:dyDescent="0.3">
      <c r="A72">
        <v>5083</v>
      </c>
      <c r="B72" t="s">
        <v>39</v>
      </c>
      <c r="C72" t="s">
        <v>23</v>
      </c>
      <c r="D72" t="s">
        <v>109</v>
      </c>
      <c r="E72" t="s">
        <v>123</v>
      </c>
      <c r="F72" t="s">
        <v>111</v>
      </c>
      <c r="G72" t="s">
        <v>27</v>
      </c>
      <c r="H72" s="1" t="s">
        <v>28</v>
      </c>
      <c r="I72" t="s">
        <v>29</v>
      </c>
      <c r="J72">
        <v>1</v>
      </c>
      <c r="K72">
        <v>9405.07</v>
      </c>
      <c r="L72">
        <v>9405.07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30</v>
      </c>
      <c r="S72" t="s">
        <v>31</v>
      </c>
    </row>
    <row r="73" spans="1:19" x14ac:dyDescent="0.3">
      <c r="A73">
        <v>5084</v>
      </c>
      <c r="B73" t="s">
        <v>39</v>
      </c>
      <c r="C73" t="s">
        <v>23</v>
      </c>
      <c r="D73" t="s">
        <v>109</v>
      </c>
      <c r="E73" t="s">
        <v>124</v>
      </c>
      <c r="F73" t="s">
        <v>111</v>
      </c>
      <c r="G73" t="s">
        <v>27</v>
      </c>
      <c r="H73" s="1" t="s">
        <v>28</v>
      </c>
      <c r="I73" t="s">
        <v>121</v>
      </c>
      <c r="J73">
        <v>33.270000000000003</v>
      </c>
      <c r="K73">
        <v>272.08999999999997</v>
      </c>
      <c r="L73">
        <v>9052.2900000000009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30</v>
      </c>
      <c r="S73" t="s">
        <v>31</v>
      </c>
    </row>
    <row r="74" spans="1:19" x14ac:dyDescent="0.3">
      <c r="A74">
        <v>5085</v>
      </c>
      <c r="B74" t="s">
        <v>39</v>
      </c>
      <c r="C74" t="s">
        <v>23</v>
      </c>
      <c r="D74" t="s">
        <v>125</v>
      </c>
      <c r="E74" t="s">
        <v>126</v>
      </c>
      <c r="F74" t="s">
        <v>111</v>
      </c>
      <c r="G74" t="s">
        <v>27</v>
      </c>
      <c r="H74" s="1" t="s">
        <v>28</v>
      </c>
      <c r="I74" t="s">
        <v>52</v>
      </c>
      <c r="J74">
        <v>105</v>
      </c>
      <c r="K74">
        <v>85.71</v>
      </c>
      <c r="L74">
        <v>9000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30</v>
      </c>
      <c r="S74" t="s">
        <v>31</v>
      </c>
    </row>
    <row r="75" spans="1:19" x14ac:dyDescent="0.3">
      <c r="A75">
        <v>5086</v>
      </c>
      <c r="B75" t="s">
        <v>36</v>
      </c>
      <c r="C75" t="s">
        <v>23</v>
      </c>
      <c r="D75" t="s">
        <v>36</v>
      </c>
      <c r="E75" t="s">
        <v>127</v>
      </c>
      <c r="F75" t="s">
        <v>111</v>
      </c>
      <c r="G75" t="s">
        <v>27</v>
      </c>
      <c r="H75" s="1" t="s">
        <v>28</v>
      </c>
      <c r="I75" t="s">
        <v>35</v>
      </c>
      <c r="J75">
        <v>2</v>
      </c>
      <c r="K75">
        <v>4380.95</v>
      </c>
      <c r="L75">
        <v>8761.9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30</v>
      </c>
      <c r="S75" t="s">
        <v>31</v>
      </c>
    </row>
    <row r="76" spans="1:19" x14ac:dyDescent="0.3">
      <c r="A76">
        <v>5087</v>
      </c>
      <c r="B76" t="s">
        <v>36</v>
      </c>
      <c r="C76" t="s">
        <v>23</v>
      </c>
      <c r="D76" t="s">
        <v>36</v>
      </c>
      <c r="E76" t="s">
        <v>128</v>
      </c>
      <c r="F76" t="s">
        <v>111</v>
      </c>
      <c r="G76" t="s">
        <v>27</v>
      </c>
      <c r="H76" s="1" t="s">
        <v>28</v>
      </c>
      <c r="I76" t="s">
        <v>35</v>
      </c>
      <c r="J76">
        <v>1</v>
      </c>
      <c r="K76">
        <v>8095.24</v>
      </c>
      <c r="L76">
        <v>8095.24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</v>
      </c>
      <c r="S76" t="s">
        <v>31</v>
      </c>
    </row>
    <row r="77" spans="1:19" x14ac:dyDescent="0.3">
      <c r="A77">
        <v>5088</v>
      </c>
      <c r="B77" t="s">
        <v>39</v>
      </c>
      <c r="C77" t="s">
        <v>23</v>
      </c>
      <c r="D77" t="s">
        <v>129</v>
      </c>
      <c r="E77" t="s">
        <v>130</v>
      </c>
      <c r="F77" t="s">
        <v>111</v>
      </c>
      <c r="G77" t="s">
        <v>27</v>
      </c>
      <c r="H77" s="1" t="s">
        <v>28</v>
      </c>
      <c r="I77" t="s">
        <v>52</v>
      </c>
      <c r="J77">
        <v>427.38</v>
      </c>
      <c r="K77">
        <v>13.98</v>
      </c>
      <c r="L77">
        <v>5975.18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30</v>
      </c>
      <c r="S77" t="s">
        <v>31</v>
      </c>
    </row>
    <row r="78" spans="1:19" x14ac:dyDescent="0.3">
      <c r="A78">
        <v>5089</v>
      </c>
      <c r="B78" t="s">
        <v>36</v>
      </c>
      <c r="C78" t="s">
        <v>23</v>
      </c>
      <c r="D78" t="s">
        <v>36</v>
      </c>
      <c r="E78" t="s">
        <v>131</v>
      </c>
      <c r="F78" t="s">
        <v>111</v>
      </c>
      <c r="G78" t="s">
        <v>27</v>
      </c>
      <c r="H78" s="1" t="s">
        <v>28</v>
      </c>
      <c r="I78" t="s">
        <v>35</v>
      </c>
      <c r="J78">
        <v>1</v>
      </c>
      <c r="K78">
        <v>5714.29</v>
      </c>
      <c r="L78">
        <v>5714.29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</v>
      </c>
      <c r="S78" t="s">
        <v>31</v>
      </c>
    </row>
    <row r="79" spans="1:19" x14ac:dyDescent="0.3">
      <c r="A79">
        <v>5090</v>
      </c>
      <c r="B79" t="s">
        <v>39</v>
      </c>
      <c r="C79" t="s">
        <v>23</v>
      </c>
      <c r="D79" t="s">
        <v>129</v>
      </c>
      <c r="E79" t="s">
        <v>132</v>
      </c>
      <c r="F79" t="s">
        <v>111</v>
      </c>
      <c r="G79" t="s">
        <v>27</v>
      </c>
      <c r="H79" s="1" t="s">
        <v>28</v>
      </c>
      <c r="I79" t="s">
        <v>52</v>
      </c>
      <c r="J79">
        <v>213.69</v>
      </c>
      <c r="K79">
        <v>26.56</v>
      </c>
      <c r="L79">
        <v>5676.01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30</v>
      </c>
      <c r="S79" t="s">
        <v>31</v>
      </c>
    </row>
    <row r="80" spans="1:19" x14ac:dyDescent="0.3">
      <c r="A80">
        <v>5091</v>
      </c>
      <c r="B80" t="s">
        <v>39</v>
      </c>
      <c r="C80" t="s">
        <v>23</v>
      </c>
      <c r="D80" t="s">
        <v>129</v>
      </c>
      <c r="E80" t="s">
        <v>130</v>
      </c>
      <c r="F80" t="s">
        <v>111</v>
      </c>
      <c r="G80" t="s">
        <v>27</v>
      </c>
      <c r="H80" s="1" t="s">
        <v>28</v>
      </c>
      <c r="I80" t="s">
        <v>52</v>
      </c>
      <c r="J80">
        <v>400.19</v>
      </c>
      <c r="K80">
        <v>13.98</v>
      </c>
      <c r="L80">
        <v>5595.01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30</v>
      </c>
      <c r="S80" t="s">
        <v>31</v>
      </c>
    </row>
    <row r="81" spans="1:19" x14ac:dyDescent="0.3">
      <c r="A81">
        <v>5092</v>
      </c>
      <c r="B81" t="s">
        <v>39</v>
      </c>
      <c r="C81" t="s">
        <v>23</v>
      </c>
      <c r="D81" t="s">
        <v>109</v>
      </c>
      <c r="E81" t="s">
        <v>133</v>
      </c>
      <c r="F81" t="s">
        <v>111</v>
      </c>
      <c r="G81" t="s">
        <v>27</v>
      </c>
      <c r="H81" s="1" t="s">
        <v>28</v>
      </c>
      <c r="I81" t="s">
        <v>52</v>
      </c>
      <c r="J81">
        <v>311.02999999999997</v>
      </c>
      <c r="K81">
        <v>17.98</v>
      </c>
      <c r="L81">
        <v>5592.62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30</v>
      </c>
      <c r="S81" t="s">
        <v>31</v>
      </c>
    </row>
    <row r="82" spans="1:19" x14ac:dyDescent="0.3">
      <c r="A82">
        <v>5093</v>
      </c>
      <c r="B82" t="s">
        <v>54</v>
      </c>
      <c r="C82" t="s">
        <v>23</v>
      </c>
      <c r="D82" t="s">
        <v>54</v>
      </c>
      <c r="E82" t="s">
        <v>134</v>
      </c>
      <c r="F82" t="s">
        <v>111</v>
      </c>
      <c r="G82" t="s">
        <v>27</v>
      </c>
      <c r="H82" s="1" t="s">
        <v>28</v>
      </c>
      <c r="I82" t="s">
        <v>35</v>
      </c>
      <c r="J82">
        <v>2</v>
      </c>
      <c r="K82">
        <v>2666.67</v>
      </c>
      <c r="L82">
        <v>5333.33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</v>
      </c>
      <c r="S82" t="s">
        <v>31</v>
      </c>
    </row>
    <row r="83" spans="1:19" x14ac:dyDescent="0.3">
      <c r="A83">
        <v>5094</v>
      </c>
      <c r="B83" t="s">
        <v>36</v>
      </c>
      <c r="C83" t="s">
        <v>23</v>
      </c>
      <c r="D83" t="s">
        <v>36</v>
      </c>
      <c r="E83" t="s">
        <v>135</v>
      </c>
      <c r="F83" t="s">
        <v>111</v>
      </c>
      <c r="G83" t="s">
        <v>27</v>
      </c>
      <c r="H83" s="1" t="s">
        <v>28</v>
      </c>
      <c r="I83" t="s">
        <v>35</v>
      </c>
      <c r="J83">
        <v>7</v>
      </c>
      <c r="K83">
        <v>761.9</v>
      </c>
      <c r="L83">
        <v>5333.33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30</v>
      </c>
      <c r="S83" t="s">
        <v>31</v>
      </c>
    </row>
    <row r="84" spans="1:19" x14ac:dyDescent="0.3">
      <c r="A84">
        <v>5095</v>
      </c>
      <c r="B84" t="s">
        <v>39</v>
      </c>
      <c r="C84" t="s">
        <v>23</v>
      </c>
      <c r="D84" t="s">
        <v>129</v>
      </c>
      <c r="E84" t="s">
        <v>132</v>
      </c>
      <c r="F84" t="s">
        <v>111</v>
      </c>
      <c r="G84" t="s">
        <v>27</v>
      </c>
      <c r="H84" s="1" t="s">
        <v>28</v>
      </c>
      <c r="I84" t="s">
        <v>52</v>
      </c>
      <c r="J84">
        <v>200.09</v>
      </c>
      <c r="K84">
        <v>26.56</v>
      </c>
      <c r="L84">
        <v>5314.88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30</v>
      </c>
      <c r="S84" t="s">
        <v>31</v>
      </c>
    </row>
    <row r="85" spans="1:19" x14ac:dyDescent="0.3">
      <c r="A85">
        <v>5096</v>
      </c>
      <c r="B85" t="s">
        <v>39</v>
      </c>
      <c r="C85" t="s">
        <v>23</v>
      </c>
      <c r="D85" t="s">
        <v>50</v>
      </c>
      <c r="E85" t="s">
        <v>136</v>
      </c>
      <c r="F85" t="s">
        <v>111</v>
      </c>
      <c r="G85" t="s">
        <v>27</v>
      </c>
      <c r="H85" s="1" t="s">
        <v>28</v>
      </c>
      <c r="I85" t="s">
        <v>52</v>
      </c>
      <c r="J85">
        <v>110.3</v>
      </c>
      <c r="K85">
        <v>44.33</v>
      </c>
      <c r="L85">
        <v>4889.97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30</v>
      </c>
      <c r="S85" t="s">
        <v>31</v>
      </c>
    </row>
    <row r="86" spans="1:19" x14ac:dyDescent="0.3">
      <c r="A86">
        <v>5097</v>
      </c>
      <c r="B86" t="s">
        <v>39</v>
      </c>
      <c r="C86" t="s">
        <v>23</v>
      </c>
      <c r="D86" t="s">
        <v>61</v>
      </c>
      <c r="E86" t="s">
        <v>137</v>
      </c>
      <c r="F86" t="s">
        <v>111</v>
      </c>
      <c r="G86" t="s">
        <v>27</v>
      </c>
      <c r="H86" s="1" t="s">
        <v>28</v>
      </c>
      <c r="I86" t="s">
        <v>35</v>
      </c>
      <c r="J86">
        <v>16</v>
      </c>
      <c r="K86">
        <v>294.29000000000002</v>
      </c>
      <c r="L86">
        <v>4708.57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30</v>
      </c>
      <c r="S86" t="s">
        <v>31</v>
      </c>
    </row>
    <row r="87" spans="1:19" x14ac:dyDescent="0.3">
      <c r="A87">
        <v>5098</v>
      </c>
      <c r="B87" t="s">
        <v>54</v>
      </c>
      <c r="C87" t="s">
        <v>23</v>
      </c>
      <c r="D87" t="s">
        <v>54</v>
      </c>
      <c r="E87" t="s">
        <v>138</v>
      </c>
      <c r="F87" t="s">
        <v>111</v>
      </c>
      <c r="G87" t="s">
        <v>27</v>
      </c>
      <c r="H87" s="1" t="s">
        <v>28</v>
      </c>
      <c r="I87" t="s">
        <v>35</v>
      </c>
      <c r="J87">
        <v>6</v>
      </c>
      <c r="K87">
        <v>782.57</v>
      </c>
      <c r="L87">
        <v>4695.43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30</v>
      </c>
      <c r="S87" t="s">
        <v>31</v>
      </c>
    </row>
    <row r="88" spans="1:19" x14ac:dyDescent="0.3">
      <c r="A88">
        <v>5099</v>
      </c>
      <c r="B88" t="s">
        <v>39</v>
      </c>
      <c r="C88" t="s">
        <v>23</v>
      </c>
      <c r="D88" t="s">
        <v>50</v>
      </c>
      <c r="E88" t="s">
        <v>139</v>
      </c>
      <c r="F88" t="s">
        <v>111</v>
      </c>
      <c r="G88" t="s">
        <v>27</v>
      </c>
      <c r="H88" s="1" t="s">
        <v>28</v>
      </c>
      <c r="I88" t="s">
        <v>52</v>
      </c>
      <c r="J88">
        <v>127.93</v>
      </c>
      <c r="K88">
        <v>34.909999999999997</v>
      </c>
      <c r="L88">
        <v>4466.58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30</v>
      </c>
      <c r="S88" t="s">
        <v>31</v>
      </c>
    </row>
    <row r="89" spans="1:19" x14ac:dyDescent="0.3">
      <c r="A89">
        <v>5100</v>
      </c>
      <c r="B89" t="s">
        <v>39</v>
      </c>
      <c r="C89" t="s">
        <v>23</v>
      </c>
      <c r="D89" t="s">
        <v>109</v>
      </c>
      <c r="E89" t="s">
        <v>140</v>
      </c>
      <c r="F89" t="s">
        <v>111</v>
      </c>
      <c r="G89" t="s">
        <v>27</v>
      </c>
      <c r="H89" s="1" t="s">
        <v>28</v>
      </c>
      <c r="I89" t="s">
        <v>52</v>
      </c>
      <c r="J89">
        <v>311.02999999999997</v>
      </c>
      <c r="K89">
        <v>14.27</v>
      </c>
      <c r="L89">
        <v>4437.3599999999997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30</v>
      </c>
      <c r="S89" t="s">
        <v>31</v>
      </c>
    </row>
    <row r="90" spans="1:19" x14ac:dyDescent="0.3">
      <c r="A90">
        <v>5101</v>
      </c>
      <c r="B90" t="s">
        <v>39</v>
      </c>
      <c r="C90" t="s">
        <v>23</v>
      </c>
      <c r="D90" t="s">
        <v>129</v>
      </c>
      <c r="E90" t="s">
        <v>141</v>
      </c>
      <c r="F90" t="s">
        <v>111</v>
      </c>
      <c r="G90" t="s">
        <v>27</v>
      </c>
      <c r="H90" s="1" t="s">
        <v>28</v>
      </c>
      <c r="I90" t="s">
        <v>52</v>
      </c>
      <c r="J90">
        <v>148.26</v>
      </c>
      <c r="K90">
        <v>26.97</v>
      </c>
      <c r="L90">
        <v>3998.78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30</v>
      </c>
      <c r="S90" t="s">
        <v>31</v>
      </c>
    </row>
    <row r="91" spans="1:19" x14ac:dyDescent="0.3">
      <c r="A91">
        <v>5102</v>
      </c>
      <c r="B91" t="s">
        <v>39</v>
      </c>
      <c r="C91" t="s">
        <v>23</v>
      </c>
      <c r="D91" t="s">
        <v>125</v>
      </c>
      <c r="E91" t="s">
        <v>142</v>
      </c>
      <c r="F91" t="s">
        <v>111</v>
      </c>
      <c r="G91" t="s">
        <v>27</v>
      </c>
      <c r="H91" s="1" t="s">
        <v>28</v>
      </c>
      <c r="I91" t="s">
        <v>52</v>
      </c>
      <c r="J91">
        <v>34.549999999999997</v>
      </c>
      <c r="K91">
        <v>115.24</v>
      </c>
      <c r="L91">
        <v>3981.48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30</v>
      </c>
      <c r="S91" t="s">
        <v>31</v>
      </c>
    </row>
    <row r="92" spans="1:19" x14ac:dyDescent="0.3">
      <c r="A92">
        <v>5103</v>
      </c>
      <c r="B92" t="s">
        <v>39</v>
      </c>
      <c r="C92" t="s">
        <v>23</v>
      </c>
      <c r="D92" t="s">
        <v>69</v>
      </c>
      <c r="E92" t="s">
        <v>143</v>
      </c>
      <c r="F92" t="s">
        <v>111</v>
      </c>
      <c r="G92" t="s">
        <v>27</v>
      </c>
      <c r="H92" s="1" t="s">
        <v>28</v>
      </c>
      <c r="I92" t="s">
        <v>74</v>
      </c>
      <c r="J92">
        <v>11.24</v>
      </c>
      <c r="K92">
        <v>347.62</v>
      </c>
      <c r="L92">
        <v>3907.24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30</v>
      </c>
      <c r="S92" t="s">
        <v>31</v>
      </c>
    </row>
    <row r="93" spans="1:19" x14ac:dyDescent="0.3">
      <c r="A93">
        <v>5104</v>
      </c>
      <c r="B93" t="s">
        <v>39</v>
      </c>
      <c r="C93" t="s">
        <v>23</v>
      </c>
      <c r="D93" t="s">
        <v>50</v>
      </c>
      <c r="E93" t="s">
        <v>143</v>
      </c>
      <c r="F93" t="s">
        <v>111</v>
      </c>
      <c r="G93" t="s">
        <v>27</v>
      </c>
      <c r="H93" s="1" t="s">
        <v>28</v>
      </c>
      <c r="I93" t="s">
        <v>74</v>
      </c>
      <c r="J93">
        <v>11.24</v>
      </c>
      <c r="K93">
        <v>347.62</v>
      </c>
      <c r="L93">
        <v>3907.24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</v>
      </c>
      <c r="S93" t="s">
        <v>31</v>
      </c>
    </row>
    <row r="94" spans="1:19" x14ac:dyDescent="0.3">
      <c r="A94">
        <v>5105</v>
      </c>
      <c r="B94" t="s">
        <v>39</v>
      </c>
      <c r="C94" t="s">
        <v>23</v>
      </c>
      <c r="D94" t="s">
        <v>69</v>
      </c>
      <c r="E94" t="s">
        <v>136</v>
      </c>
      <c r="F94" t="s">
        <v>111</v>
      </c>
      <c r="G94" t="s">
        <v>27</v>
      </c>
      <c r="H94" s="1" t="s">
        <v>28</v>
      </c>
      <c r="I94" t="s">
        <v>52</v>
      </c>
      <c r="J94">
        <v>110.3</v>
      </c>
      <c r="K94">
        <v>33.33</v>
      </c>
      <c r="L94">
        <v>3676.67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30</v>
      </c>
      <c r="S94" t="s">
        <v>31</v>
      </c>
    </row>
    <row r="95" spans="1:19" x14ac:dyDescent="0.3">
      <c r="A95">
        <v>5106</v>
      </c>
      <c r="B95" t="s">
        <v>36</v>
      </c>
      <c r="C95" t="s">
        <v>23</v>
      </c>
      <c r="D95" t="s">
        <v>36</v>
      </c>
      <c r="E95" t="s">
        <v>144</v>
      </c>
      <c r="F95" t="s">
        <v>111</v>
      </c>
      <c r="G95" t="s">
        <v>27</v>
      </c>
      <c r="H95" s="1" t="s">
        <v>28</v>
      </c>
      <c r="I95" t="s">
        <v>35</v>
      </c>
      <c r="J95">
        <v>4</v>
      </c>
      <c r="K95">
        <v>904.76</v>
      </c>
      <c r="L95">
        <v>3619.05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30</v>
      </c>
      <c r="S95" t="s">
        <v>31</v>
      </c>
    </row>
    <row r="96" spans="1:19" x14ac:dyDescent="0.3">
      <c r="A96">
        <v>5107</v>
      </c>
      <c r="B96" t="s">
        <v>39</v>
      </c>
      <c r="C96" t="s">
        <v>23</v>
      </c>
      <c r="D96" t="s">
        <v>129</v>
      </c>
      <c r="E96" t="s">
        <v>141</v>
      </c>
      <c r="F96" t="s">
        <v>111</v>
      </c>
      <c r="G96" t="s">
        <v>27</v>
      </c>
      <c r="H96" s="1" t="s">
        <v>28</v>
      </c>
      <c r="I96" t="s">
        <v>52</v>
      </c>
      <c r="J96">
        <v>127.74</v>
      </c>
      <c r="K96">
        <v>26.97</v>
      </c>
      <c r="L96">
        <v>3445.33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30</v>
      </c>
      <c r="S96" t="s">
        <v>31</v>
      </c>
    </row>
    <row r="97" spans="1:19" x14ac:dyDescent="0.3">
      <c r="A97">
        <v>5108</v>
      </c>
      <c r="B97" t="s">
        <v>39</v>
      </c>
      <c r="C97" t="s">
        <v>23</v>
      </c>
      <c r="D97" t="s">
        <v>109</v>
      </c>
      <c r="E97" t="s">
        <v>145</v>
      </c>
      <c r="F97" t="s">
        <v>111</v>
      </c>
      <c r="G97" t="s">
        <v>27</v>
      </c>
      <c r="H97" s="1" t="s">
        <v>28</v>
      </c>
      <c r="I97" t="s">
        <v>121</v>
      </c>
      <c r="J97">
        <v>155.91</v>
      </c>
      <c r="K97">
        <v>21.74</v>
      </c>
      <c r="L97">
        <v>3389.93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30</v>
      </c>
      <c r="S97" t="s">
        <v>31</v>
      </c>
    </row>
    <row r="98" spans="1:19" x14ac:dyDescent="0.3">
      <c r="A98">
        <v>5109</v>
      </c>
      <c r="B98" t="s">
        <v>39</v>
      </c>
      <c r="C98" t="s">
        <v>23</v>
      </c>
      <c r="D98" t="s">
        <v>146</v>
      </c>
      <c r="E98" t="s">
        <v>147</v>
      </c>
      <c r="F98" t="s">
        <v>111</v>
      </c>
      <c r="G98" t="s">
        <v>27</v>
      </c>
      <c r="H98" s="1" t="s">
        <v>28</v>
      </c>
      <c r="I98" t="s">
        <v>35</v>
      </c>
      <c r="J98">
        <v>20</v>
      </c>
      <c r="K98">
        <v>157.24</v>
      </c>
      <c r="L98">
        <v>3144.76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30</v>
      </c>
      <c r="S98" t="s">
        <v>31</v>
      </c>
    </row>
    <row r="99" spans="1:19" x14ac:dyDescent="0.3">
      <c r="A99">
        <v>5110</v>
      </c>
      <c r="B99" t="s">
        <v>36</v>
      </c>
      <c r="C99" t="s">
        <v>23</v>
      </c>
      <c r="D99" t="s">
        <v>36</v>
      </c>
      <c r="E99" t="s">
        <v>148</v>
      </c>
      <c r="F99" t="s">
        <v>111</v>
      </c>
      <c r="G99" t="s">
        <v>27</v>
      </c>
      <c r="H99" s="1" t="s">
        <v>28</v>
      </c>
      <c r="I99" t="s">
        <v>35</v>
      </c>
      <c r="J99">
        <v>3</v>
      </c>
      <c r="K99">
        <v>1047.6199999999999</v>
      </c>
      <c r="L99">
        <v>3142.86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30</v>
      </c>
      <c r="S99" t="s">
        <v>31</v>
      </c>
    </row>
    <row r="100" spans="1:19" x14ac:dyDescent="0.3">
      <c r="A100">
        <v>5111</v>
      </c>
      <c r="B100" t="s">
        <v>39</v>
      </c>
      <c r="C100" t="s">
        <v>23</v>
      </c>
      <c r="D100" t="s">
        <v>50</v>
      </c>
      <c r="E100" t="s">
        <v>149</v>
      </c>
      <c r="F100" t="s">
        <v>111</v>
      </c>
      <c r="G100" t="s">
        <v>27</v>
      </c>
      <c r="H100" s="1" t="s">
        <v>28</v>
      </c>
      <c r="I100" t="s">
        <v>52</v>
      </c>
      <c r="J100">
        <v>139</v>
      </c>
      <c r="K100">
        <v>21.71</v>
      </c>
      <c r="L100">
        <v>3018.29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30</v>
      </c>
      <c r="S100" t="s">
        <v>31</v>
      </c>
    </row>
    <row r="101" spans="1:19" x14ac:dyDescent="0.3">
      <c r="A101">
        <v>5112</v>
      </c>
      <c r="B101" t="s">
        <v>39</v>
      </c>
      <c r="C101" t="s">
        <v>23</v>
      </c>
      <c r="D101" t="s">
        <v>109</v>
      </c>
      <c r="E101" t="s">
        <v>150</v>
      </c>
      <c r="F101" t="s">
        <v>111</v>
      </c>
      <c r="G101" t="s">
        <v>27</v>
      </c>
      <c r="H101" s="1" t="s">
        <v>28</v>
      </c>
      <c r="I101" t="s">
        <v>112</v>
      </c>
      <c r="J101">
        <v>1245.8</v>
      </c>
      <c r="K101">
        <v>2.29</v>
      </c>
      <c r="L101">
        <v>2847.54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30</v>
      </c>
      <c r="S101" t="s">
        <v>31</v>
      </c>
    </row>
    <row r="102" spans="1:19" x14ac:dyDescent="0.3">
      <c r="A102">
        <v>5113</v>
      </c>
      <c r="B102" t="s">
        <v>39</v>
      </c>
      <c r="C102" t="s">
        <v>23</v>
      </c>
      <c r="D102" t="s">
        <v>146</v>
      </c>
      <c r="E102" t="s">
        <v>151</v>
      </c>
      <c r="F102" t="s">
        <v>111</v>
      </c>
      <c r="G102" t="s">
        <v>27</v>
      </c>
      <c r="H102" s="1" t="s">
        <v>28</v>
      </c>
      <c r="I102" t="s">
        <v>35</v>
      </c>
      <c r="J102">
        <v>24</v>
      </c>
      <c r="K102">
        <v>107.27</v>
      </c>
      <c r="L102">
        <v>2574.4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30</v>
      </c>
      <c r="S102" t="s">
        <v>31</v>
      </c>
    </row>
    <row r="103" spans="1:19" x14ac:dyDescent="0.3">
      <c r="A103">
        <v>5114</v>
      </c>
      <c r="B103" t="s">
        <v>36</v>
      </c>
      <c r="C103" t="s">
        <v>23</v>
      </c>
      <c r="D103" t="s">
        <v>36</v>
      </c>
      <c r="E103" t="s">
        <v>67</v>
      </c>
      <c r="F103" t="s">
        <v>111</v>
      </c>
      <c r="G103" t="s">
        <v>27</v>
      </c>
      <c r="H103" s="1" t="s">
        <v>28</v>
      </c>
      <c r="I103" t="s">
        <v>35</v>
      </c>
      <c r="J103">
        <v>3</v>
      </c>
      <c r="K103">
        <v>857.14</v>
      </c>
      <c r="L103">
        <v>2571.4299999999998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30</v>
      </c>
      <c r="S103" t="s">
        <v>31</v>
      </c>
    </row>
    <row r="104" spans="1:19" x14ac:dyDescent="0.3">
      <c r="A104">
        <v>5115</v>
      </c>
      <c r="B104" t="s">
        <v>39</v>
      </c>
      <c r="C104" t="s">
        <v>23</v>
      </c>
      <c r="D104" t="s">
        <v>125</v>
      </c>
      <c r="E104" t="s">
        <v>152</v>
      </c>
      <c r="F104" t="s">
        <v>111</v>
      </c>
      <c r="G104" t="s">
        <v>27</v>
      </c>
      <c r="H104" s="1" t="s">
        <v>28</v>
      </c>
      <c r="I104" t="s">
        <v>35</v>
      </c>
      <c r="J104">
        <v>5</v>
      </c>
      <c r="K104">
        <v>469.3</v>
      </c>
      <c r="L104">
        <v>2346.52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30</v>
      </c>
      <c r="S104" t="s">
        <v>31</v>
      </c>
    </row>
    <row r="105" spans="1:19" x14ac:dyDescent="0.3">
      <c r="A105">
        <v>5116</v>
      </c>
      <c r="B105" t="s">
        <v>39</v>
      </c>
      <c r="C105" t="s">
        <v>23</v>
      </c>
      <c r="D105" t="s">
        <v>129</v>
      </c>
      <c r="E105" t="s">
        <v>153</v>
      </c>
      <c r="F105" t="s">
        <v>111</v>
      </c>
      <c r="G105" t="s">
        <v>27</v>
      </c>
      <c r="H105" s="1" t="s">
        <v>28</v>
      </c>
      <c r="I105" t="s">
        <v>52</v>
      </c>
      <c r="J105">
        <v>174</v>
      </c>
      <c r="K105">
        <v>13.44</v>
      </c>
      <c r="L105">
        <v>2338.23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30</v>
      </c>
      <c r="S105" t="s">
        <v>31</v>
      </c>
    </row>
    <row r="106" spans="1:19" x14ac:dyDescent="0.3">
      <c r="A106">
        <v>5117</v>
      </c>
      <c r="B106" t="s">
        <v>36</v>
      </c>
      <c r="C106" t="s">
        <v>23</v>
      </c>
      <c r="D106" t="s">
        <v>36</v>
      </c>
      <c r="E106" t="s">
        <v>154</v>
      </c>
      <c r="F106" t="s">
        <v>111</v>
      </c>
      <c r="G106" t="s">
        <v>27</v>
      </c>
      <c r="H106" s="1" t="s">
        <v>28</v>
      </c>
      <c r="I106" t="s">
        <v>35</v>
      </c>
      <c r="J106">
        <v>8</v>
      </c>
      <c r="K106">
        <v>285.70999999999998</v>
      </c>
      <c r="L106">
        <v>2285.71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30</v>
      </c>
      <c r="S106" t="s">
        <v>31</v>
      </c>
    </row>
    <row r="107" spans="1:19" x14ac:dyDescent="0.3">
      <c r="A107">
        <v>5118</v>
      </c>
      <c r="B107" t="s">
        <v>39</v>
      </c>
      <c r="C107" t="s">
        <v>23</v>
      </c>
      <c r="D107" t="s">
        <v>155</v>
      </c>
      <c r="E107" t="s">
        <v>156</v>
      </c>
      <c r="F107" t="s">
        <v>111</v>
      </c>
      <c r="G107" t="s">
        <v>27</v>
      </c>
      <c r="H107" s="1" t="s">
        <v>28</v>
      </c>
      <c r="I107" t="s">
        <v>35</v>
      </c>
      <c r="J107">
        <v>1</v>
      </c>
      <c r="K107">
        <v>2160</v>
      </c>
      <c r="L107">
        <v>2160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30</v>
      </c>
      <c r="S107" t="s">
        <v>31</v>
      </c>
    </row>
    <row r="108" spans="1:19" x14ac:dyDescent="0.3">
      <c r="A108">
        <v>5119</v>
      </c>
      <c r="B108" t="s">
        <v>39</v>
      </c>
      <c r="C108" t="s">
        <v>23</v>
      </c>
      <c r="D108" t="s">
        <v>40</v>
      </c>
      <c r="E108" t="s">
        <v>157</v>
      </c>
      <c r="F108" t="s">
        <v>111</v>
      </c>
      <c r="G108" t="s">
        <v>27</v>
      </c>
      <c r="H108" s="1" t="s">
        <v>28</v>
      </c>
      <c r="I108" t="s">
        <v>74</v>
      </c>
      <c r="J108">
        <v>8.2799999999999994</v>
      </c>
      <c r="K108">
        <v>259.08</v>
      </c>
      <c r="L108">
        <v>2145.15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30</v>
      </c>
      <c r="S108" t="s">
        <v>31</v>
      </c>
    </row>
    <row r="109" spans="1:19" x14ac:dyDescent="0.3">
      <c r="A109">
        <v>5120</v>
      </c>
      <c r="B109" t="s">
        <v>36</v>
      </c>
      <c r="C109" t="s">
        <v>23</v>
      </c>
      <c r="D109" t="s">
        <v>36</v>
      </c>
      <c r="E109" t="s">
        <v>158</v>
      </c>
      <c r="F109" t="s">
        <v>111</v>
      </c>
      <c r="G109" t="s">
        <v>27</v>
      </c>
      <c r="H109" s="1" t="s">
        <v>28</v>
      </c>
      <c r="I109" t="s">
        <v>35</v>
      </c>
      <c r="J109">
        <v>2</v>
      </c>
      <c r="K109">
        <v>941.9</v>
      </c>
      <c r="L109">
        <v>1883.81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30</v>
      </c>
      <c r="S109" t="s">
        <v>31</v>
      </c>
    </row>
    <row r="110" spans="1:19" x14ac:dyDescent="0.3">
      <c r="A110">
        <v>5121</v>
      </c>
      <c r="B110" t="s">
        <v>39</v>
      </c>
      <c r="C110" t="s">
        <v>23</v>
      </c>
      <c r="D110" t="s">
        <v>129</v>
      </c>
      <c r="E110" t="s">
        <v>159</v>
      </c>
      <c r="F110" t="s">
        <v>111</v>
      </c>
      <c r="G110" t="s">
        <v>27</v>
      </c>
      <c r="H110" s="1" t="s">
        <v>28</v>
      </c>
      <c r="I110" t="s">
        <v>112</v>
      </c>
      <c r="J110">
        <v>558.14</v>
      </c>
      <c r="K110">
        <v>3.33</v>
      </c>
      <c r="L110">
        <v>1860.47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30</v>
      </c>
      <c r="S110" t="s">
        <v>31</v>
      </c>
    </row>
    <row r="111" spans="1:19" x14ac:dyDescent="0.3">
      <c r="A111">
        <v>5122</v>
      </c>
      <c r="B111" t="s">
        <v>39</v>
      </c>
      <c r="C111" t="s">
        <v>23</v>
      </c>
      <c r="D111" t="s">
        <v>129</v>
      </c>
      <c r="E111" t="s">
        <v>159</v>
      </c>
      <c r="F111" t="s">
        <v>111</v>
      </c>
      <c r="G111" t="s">
        <v>27</v>
      </c>
      <c r="H111" s="1" t="s">
        <v>28</v>
      </c>
      <c r="I111" t="s">
        <v>112</v>
      </c>
      <c r="J111">
        <v>558.14</v>
      </c>
      <c r="K111">
        <v>3.33</v>
      </c>
      <c r="L111">
        <v>1860.47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30</v>
      </c>
      <c r="S111" t="s">
        <v>31</v>
      </c>
    </row>
    <row r="112" spans="1:19" x14ac:dyDescent="0.3">
      <c r="A112">
        <v>5123</v>
      </c>
      <c r="B112" t="s">
        <v>54</v>
      </c>
      <c r="C112" t="s">
        <v>23</v>
      </c>
      <c r="D112" t="s">
        <v>54</v>
      </c>
      <c r="E112" t="s">
        <v>160</v>
      </c>
      <c r="F112" t="s">
        <v>111</v>
      </c>
      <c r="G112" t="s">
        <v>27</v>
      </c>
      <c r="H112" s="1" t="s">
        <v>28</v>
      </c>
      <c r="I112" t="s">
        <v>74</v>
      </c>
      <c r="J112">
        <v>92</v>
      </c>
      <c r="K112">
        <v>20</v>
      </c>
      <c r="L112">
        <v>1840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30</v>
      </c>
      <c r="S112" t="s">
        <v>31</v>
      </c>
    </row>
    <row r="113" spans="1:19" x14ac:dyDescent="0.3">
      <c r="A113">
        <v>5124</v>
      </c>
      <c r="B113" t="s">
        <v>39</v>
      </c>
      <c r="C113" t="s">
        <v>23</v>
      </c>
      <c r="D113" t="s">
        <v>69</v>
      </c>
      <c r="E113" t="s">
        <v>161</v>
      </c>
      <c r="F113" t="s">
        <v>111</v>
      </c>
      <c r="G113" t="s">
        <v>27</v>
      </c>
      <c r="H113" s="1" t="s">
        <v>28</v>
      </c>
      <c r="I113" t="s">
        <v>52</v>
      </c>
      <c r="J113">
        <v>327.64</v>
      </c>
      <c r="K113">
        <v>4.79</v>
      </c>
      <c r="L113">
        <v>1569.57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30</v>
      </c>
      <c r="S113" t="s">
        <v>31</v>
      </c>
    </row>
    <row r="114" spans="1:19" x14ac:dyDescent="0.3">
      <c r="A114">
        <v>5125</v>
      </c>
      <c r="B114" t="s">
        <v>39</v>
      </c>
      <c r="C114" t="s">
        <v>23</v>
      </c>
      <c r="D114" t="s">
        <v>50</v>
      </c>
      <c r="E114" t="s">
        <v>161</v>
      </c>
      <c r="F114" t="s">
        <v>111</v>
      </c>
      <c r="G114" t="s">
        <v>27</v>
      </c>
      <c r="H114" s="1" t="s">
        <v>28</v>
      </c>
      <c r="I114" t="s">
        <v>52</v>
      </c>
      <c r="J114">
        <v>327.64</v>
      </c>
      <c r="K114">
        <v>4.79</v>
      </c>
      <c r="L114">
        <v>1569.57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30</v>
      </c>
      <c r="S114" t="s">
        <v>31</v>
      </c>
    </row>
    <row r="115" spans="1:19" x14ac:dyDescent="0.3">
      <c r="A115">
        <v>5126</v>
      </c>
      <c r="B115" t="s">
        <v>39</v>
      </c>
      <c r="C115" t="s">
        <v>23</v>
      </c>
      <c r="D115" t="s">
        <v>69</v>
      </c>
      <c r="E115" t="s">
        <v>162</v>
      </c>
      <c r="F115" t="s">
        <v>111</v>
      </c>
      <c r="G115" t="s">
        <v>27</v>
      </c>
      <c r="H115" s="1" t="s">
        <v>28</v>
      </c>
      <c r="I115" t="s">
        <v>52</v>
      </c>
      <c r="J115">
        <v>141.79</v>
      </c>
      <c r="K115">
        <v>9.7200000000000006</v>
      </c>
      <c r="L115">
        <v>1378.75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30</v>
      </c>
      <c r="S115" t="s">
        <v>31</v>
      </c>
    </row>
    <row r="116" spans="1:19" x14ac:dyDescent="0.3">
      <c r="A116">
        <v>5127</v>
      </c>
      <c r="B116" t="s">
        <v>39</v>
      </c>
      <c r="C116" t="s">
        <v>23</v>
      </c>
      <c r="D116" t="s">
        <v>50</v>
      </c>
      <c r="E116" t="s">
        <v>162</v>
      </c>
      <c r="F116" t="s">
        <v>111</v>
      </c>
      <c r="G116" t="s">
        <v>27</v>
      </c>
      <c r="H116" s="1" t="s">
        <v>28</v>
      </c>
      <c r="I116" t="s">
        <v>52</v>
      </c>
      <c r="J116">
        <v>141.79</v>
      </c>
      <c r="K116">
        <v>9.7200000000000006</v>
      </c>
      <c r="L116">
        <v>1378.75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30</v>
      </c>
      <c r="S116" t="s">
        <v>31</v>
      </c>
    </row>
    <row r="117" spans="1:19" x14ac:dyDescent="0.3">
      <c r="A117">
        <v>5128</v>
      </c>
      <c r="B117" t="s">
        <v>39</v>
      </c>
      <c r="C117" t="s">
        <v>23</v>
      </c>
      <c r="D117" t="s">
        <v>98</v>
      </c>
      <c r="E117" t="s">
        <v>163</v>
      </c>
      <c r="F117" t="s">
        <v>111</v>
      </c>
      <c r="G117" t="s">
        <v>27</v>
      </c>
      <c r="H117" s="1" t="s">
        <v>28</v>
      </c>
      <c r="I117" t="s">
        <v>121</v>
      </c>
      <c r="J117">
        <v>60.75</v>
      </c>
      <c r="K117">
        <v>21.12</v>
      </c>
      <c r="L117">
        <v>1283.27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</v>
      </c>
      <c r="S117" t="s">
        <v>31</v>
      </c>
    </row>
    <row r="118" spans="1:19" x14ac:dyDescent="0.3">
      <c r="A118">
        <v>5129</v>
      </c>
      <c r="B118" t="s">
        <v>39</v>
      </c>
      <c r="C118" t="s">
        <v>23</v>
      </c>
      <c r="D118" t="s">
        <v>98</v>
      </c>
      <c r="E118" t="s">
        <v>164</v>
      </c>
      <c r="F118" t="s">
        <v>111</v>
      </c>
      <c r="G118" t="s">
        <v>27</v>
      </c>
      <c r="H118" s="1" t="s">
        <v>28</v>
      </c>
      <c r="I118" t="s">
        <v>29</v>
      </c>
      <c r="J118">
        <v>1</v>
      </c>
      <c r="K118">
        <v>1187.6199999999999</v>
      </c>
      <c r="L118">
        <v>1187.6199999999999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30</v>
      </c>
      <c r="S118" t="s">
        <v>31</v>
      </c>
    </row>
    <row r="119" spans="1:19" x14ac:dyDescent="0.3">
      <c r="A119">
        <v>5130</v>
      </c>
      <c r="B119" t="s">
        <v>39</v>
      </c>
      <c r="C119" t="s">
        <v>23</v>
      </c>
      <c r="D119" t="s">
        <v>155</v>
      </c>
      <c r="E119" t="s">
        <v>165</v>
      </c>
      <c r="F119" t="s">
        <v>111</v>
      </c>
      <c r="G119" t="s">
        <v>27</v>
      </c>
      <c r="H119" s="1" t="s">
        <v>28</v>
      </c>
      <c r="I119" t="s">
        <v>35</v>
      </c>
      <c r="J119">
        <v>1</v>
      </c>
      <c r="K119">
        <v>1148.22</v>
      </c>
      <c r="L119">
        <v>1148.22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30</v>
      </c>
      <c r="S119" t="s">
        <v>31</v>
      </c>
    </row>
    <row r="120" spans="1:19" x14ac:dyDescent="0.3">
      <c r="A120">
        <v>5131</v>
      </c>
      <c r="B120" t="s">
        <v>39</v>
      </c>
      <c r="C120" t="s">
        <v>23</v>
      </c>
      <c r="D120" t="s">
        <v>50</v>
      </c>
      <c r="E120" t="s">
        <v>166</v>
      </c>
      <c r="F120" t="s">
        <v>111</v>
      </c>
      <c r="G120" t="s">
        <v>27</v>
      </c>
      <c r="H120" s="1" t="s">
        <v>28</v>
      </c>
      <c r="I120" t="s">
        <v>74</v>
      </c>
      <c r="J120">
        <v>46.52</v>
      </c>
      <c r="K120">
        <v>23.14</v>
      </c>
      <c r="L120">
        <v>1076.6099999999999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30</v>
      </c>
      <c r="S120" t="s">
        <v>31</v>
      </c>
    </row>
    <row r="121" spans="1:19" x14ac:dyDescent="0.3">
      <c r="A121">
        <v>5132</v>
      </c>
      <c r="B121" t="s">
        <v>39</v>
      </c>
      <c r="C121" t="s">
        <v>23</v>
      </c>
      <c r="D121" t="s">
        <v>129</v>
      </c>
      <c r="E121" t="s">
        <v>167</v>
      </c>
      <c r="F121" t="s">
        <v>111</v>
      </c>
      <c r="G121" t="s">
        <v>27</v>
      </c>
      <c r="H121" s="1" t="s">
        <v>28</v>
      </c>
      <c r="I121" t="s">
        <v>52</v>
      </c>
      <c r="J121">
        <v>66.239999999999995</v>
      </c>
      <c r="K121">
        <v>15.26</v>
      </c>
      <c r="L121">
        <v>1010.63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30</v>
      </c>
      <c r="S121" t="s">
        <v>31</v>
      </c>
    </row>
    <row r="122" spans="1:19" x14ac:dyDescent="0.3">
      <c r="A122">
        <v>5133</v>
      </c>
      <c r="B122" t="s">
        <v>39</v>
      </c>
      <c r="C122" t="s">
        <v>23</v>
      </c>
      <c r="D122" t="s">
        <v>50</v>
      </c>
      <c r="E122" t="s">
        <v>168</v>
      </c>
      <c r="F122" t="s">
        <v>111</v>
      </c>
      <c r="G122" t="s">
        <v>27</v>
      </c>
      <c r="H122" s="1" t="s">
        <v>28</v>
      </c>
      <c r="I122" t="s">
        <v>74</v>
      </c>
      <c r="J122">
        <v>150.12</v>
      </c>
      <c r="K122">
        <v>6.5</v>
      </c>
      <c r="L122">
        <v>975.07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30</v>
      </c>
      <c r="S122" t="s">
        <v>31</v>
      </c>
    </row>
    <row r="123" spans="1:19" x14ac:dyDescent="0.3">
      <c r="A123">
        <v>5134</v>
      </c>
      <c r="B123" t="s">
        <v>39</v>
      </c>
      <c r="C123" t="s">
        <v>23</v>
      </c>
      <c r="D123" t="s">
        <v>98</v>
      </c>
      <c r="E123" t="s">
        <v>169</v>
      </c>
      <c r="F123" t="s">
        <v>111</v>
      </c>
      <c r="G123" t="s">
        <v>27</v>
      </c>
      <c r="H123" s="1" t="s">
        <v>28</v>
      </c>
      <c r="I123" t="s">
        <v>29</v>
      </c>
      <c r="J123">
        <v>1</v>
      </c>
      <c r="K123">
        <v>925.71</v>
      </c>
      <c r="L123">
        <v>925.71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30</v>
      </c>
      <c r="S123" t="s">
        <v>31</v>
      </c>
    </row>
    <row r="124" spans="1:19" x14ac:dyDescent="0.3">
      <c r="A124">
        <v>5135</v>
      </c>
      <c r="B124" t="s">
        <v>39</v>
      </c>
      <c r="C124" t="s">
        <v>23</v>
      </c>
      <c r="D124" t="s">
        <v>109</v>
      </c>
      <c r="E124" t="s">
        <v>170</v>
      </c>
      <c r="F124" t="s">
        <v>111</v>
      </c>
      <c r="G124" t="s">
        <v>27</v>
      </c>
      <c r="H124" s="1" t="s">
        <v>28</v>
      </c>
      <c r="I124" t="s">
        <v>112</v>
      </c>
      <c r="J124">
        <v>396.32</v>
      </c>
      <c r="K124">
        <v>2.33</v>
      </c>
      <c r="L124">
        <v>924.75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30</v>
      </c>
      <c r="S124" t="s">
        <v>31</v>
      </c>
    </row>
    <row r="125" spans="1:19" x14ac:dyDescent="0.3">
      <c r="A125">
        <v>5136</v>
      </c>
      <c r="B125" t="s">
        <v>39</v>
      </c>
      <c r="C125" t="s">
        <v>23</v>
      </c>
      <c r="D125" t="s">
        <v>129</v>
      </c>
      <c r="E125" t="s">
        <v>171</v>
      </c>
      <c r="F125" t="s">
        <v>111</v>
      </c>
      <c r="G125" t="s">
        <v>27</v>
      </c>
      <c r="H125" s="1" t="s">
        <v>28</v>
      </c>
      <c r="I125" t="s">
        <v>29</v>
      </c>
      <c r="J125">
        <v>1</v>
      </c>
      <c r="K125">
        <v>832.9</v>
      </c>
      <c r="L125">
        <v>832.9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30</v>
      </c>
      <c r="S125" t="s">
        <v>31</v>
      </c>
    </row>
    <row r="126" spans="1:19" x14ac:dyDescent="0.3">
      <c r="A126">
        <v>5137</v>
      </c>
      <c r="B126" t="s">
        <v>39</v>
      </c>
      <c r="C126" t="s">
        <v>23</v>
      </c>
      <c r="D126" t="s">
        <v>98</v>
      </c>
      <c r="E126" t="s">
        <v>172</v>
      </c>
      <c r="F126" t="s">
        <v>111</v>
      </c>
      <c r="G126" t="s">
        <v>27</v>
      </c>
      <c r="H126" s="1" t="s">
        <v>28</v>
      </c>
      <c r="I126" t="s">
        <v>35</v>
      </c>
      <c r="J126">
        <v>1</v>
      </c>
      <c r="K126">
        <v>804.76</v>
      </c>
      <c r="L126">
        <v>804.76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30</v>
      </c>
      <c r="S126" t="s">
        <v>31</v>
      </c>
    </row>
    <row r="127" spans="1:19" x14ac:dyDescent="0.3">
      <c r="A127">
        <v>5138</v>
      </c>
      <c r="B127" t="s">
        <v>39</v>
      </c>
      <c r="C127" t="s">
        <v>23</v>
      </c>
      <c r="D127" t="s">
        <v>109</v>
      </c>
      <c r="E127" t="s">
        <v>173</v>
      </c>
      <c r="F127" t="s">
        <v>111</v>
      </c>
      <c r="G127" t="s">
        <v>27</v>
      </c>
      <c r="H127" s="1" t="s">
        <v>28</v>
      </c>
      <c r="I127" t="s">
        <v>121</v>
      </c>
      <c r="J127">
        <v>2.84</v>
      </c>
      <c r="K127">
        <v>272.08999999999997</v>
      </c>
      <c r="L127">
        <v>772.72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30</v>
      </c>
      <c r="S127" t="s">
        <v>31</v>
      </c>
    </row>
    <row r="128" spans="1:19" x14ac:dyDescent="0.3">
      <c r="A128">
        <v>5139</v>
      </c>
      <c r="B128" t="s">
        <v>39</v>
      </c>
      <c r="C128" t="s">
        <v>23</v>
      </c>
      <c r="D128" t="s">
        <v>129</v>
      </c>
      <c r="E128" t="s">
        <v>174</v>
      </c>
      <c r="F128" t="s">
        <v>111</v>
      </c>
      <c r="G128" t="s">
        <v>27</v>
      </c>
      <c r="H128" s="1" t="s">
        <v>28</v>
      </c>
      <c r="I128" t="s">
        <v>74</v>
      </c>
      <c r="J128">
        <v>13</v>
      </c>
      <c r="K128">
        <v>57.77</v>
      </c>
      <c r="L128">
        <v>751.03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30</v>
      </c>
      <c r="S128" t="s">
        <v>31</v>
      </c>
    </row>
    <row r="129" spans="1:19" x14ac:dyDescent="0.3">
      <c r="A129">
        <v>5140</v>
      </c>
      <c r="B129" t="s">
        <v>39</v>
      </c>
      <c r="C129" t="s">
        <v>23</v>
      </c>
      <c r="D129" t="s">
        <v>69</v>
      </c>
      <c r="E129" t="s">
        <v>175</v>
      </c>
      <c r="F129" t="s">
        <v>111</v>
      </c>
      <c r="G129" t="s">
        <v>27</v>
      </c>
      <c r="H129" s="1" t="s">
        <v>28</v>
      </c>
      <c r="I129" t="s">
        <v>52</v>
      </c>
      <c r="J129">
        <v>255.48</v>
      </c>
      <c r="K129">
        <v>2.88</v>
      </c>
      <c r="L129">
        <v>734.81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30</v>
      </c>
      <c r="S129" t="s">
        <v>31</v>
      </c>
    </row>
    <row r="130" spans="1:19" x14ac:dyDescent="0.3">
      <c r="A130">
        <v>5141</v>
      </c>
      <c r="B130" t="s">
        <v>39</v>
      </c>
      <c r="C130" t="s">
        <v>23</v>
      </c>
      <c r="D130" t="s">
        <v>50</v>
      </c>
      <c r="E130" t="s">
        <v>175</v>
      </c>
      <c r="F130" t="s">
        <v>111</v>
      </c>
      <c r="G130" t="s">
        <v>27</v>
      </c>
      <c r="H130" s="1" t="s">
        <v>28</v>
      </c>
      <c r="I130" t="s">
        <v>52</v>
      </c>
      <c r="J130">
        <v>255.48</v>
      </c>
      <c r="K130">
        <v>2.88</v>
      </c>
      <c r="L130">
        <v>734.81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30</v>
      </c>
      <c r="S130" t="s">
        <v>31</v>
      </c>
    </row>
    <row r="131" spans="1:19" x14ac:dyDescent="0.3">
      <c r="A131">
        <v>5142</v>
      </c>
      <c r="B131" t="s">
        <v>39</v>
      </c>
      <c r="C131" t="s">
        <v>23</v>
      </c>
      <c r="D131" t="s">
        <v>129</v>
      </c>
      <c r="E131" t="s">
        <v>167</v>
      </c>
      <c r="F131" t="s">
        <v>111</v>
      </c>
      <c r="G131" t="s">
        <v>27</v>
      </c>
      <c r="H131" s="1" t="s">
        <v>28</v>
      </c>
      <c r="I131" t="s">
        <v>52</v>
      </c>
      <c r="J131">
        <v>45.93</v>
      </c>
      <c r="K131">
        <v>15.26</v>
      </c>
      <c r="L131">
        <v>700.76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30</v>
      </c>
      <c r="S131" t="s">
        <v>31</v>
      </c>
    </row>
    <row r="132" spans="1:19" x14ac:dyDescent="0.3">
      <c r="A132">
        <v>5143</v>
      </c>
      <c r="B132" t="s">
        <v>39</v>
      </c>
      <c r="C132" t="s">
        <v>23</v>
      </c>
      <c r="D132" t="s">
        <v>79</v>
      </c>
      <c r="E132" t="s">
        <v>176</v>
      </c>
      <c r="F132" t="s">
        <v>111</v>
      </c>
      <c r="G132" t="s">
        <v>27</v>
      </c>
      <c r="H132" s="1" t="s">
        <v>28</v>
      </c>
      <c r="I132" t="s">
        <v>177</v>
      </c>
      <c r="J132">
        <v>7</v>
      </c>
      <c r="K132">
        <v>100</v>
      </c>
      <c r="L132">
        <v>700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30</v>
      </c>
      <c r="S132" t="s">
        <v>31</v>
      </c>
    </row>
    <row r="133" spans="1:19" x14ac:dyDescent="0.3">
      <c r="A133">
        <v>5144</v>
      </c>
      <c r="B133" t="s">
        <v>39</v>
      </c>
      <c r="C133" t="s">
        <v>23</v>
      </c>
      <c r="D133" t="s">
        <v>98</v>
      </c>
      <c r="E133" t="s">
        <v>85</v>
      </c>
      <c r="F133" t="s">
        <v>111</v>
      </c>
      <c r="G133" t="s">
        <v>27</v>
      </c>
      <c r="H133" s="1" t="s">
        <v>28</v>
      </c>
      <c r="I133" t="s">
        <v>52</v>
      </c>
      <c r="J133">
        <v>106.5</v>
      </c>
      <c r="K133">
        <v>6.43</v>
      </c>
      <c r="L133">
        <v>684.64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30</v>
      </c>
      <c r="S133" t="s">
        <v>31</v>
      </c>
    </row>
    <row r="134" spans="1:19" x14ac:dyDescent="0.3">
      <c r="A134">
        <v>5145</v>
      </c>
      <c r="B134" t="s">
        <v>39</v>
      </c>
      <c r="C134" t="s">
        <v>23</v>
      </c>
      <c r="D134" t="s">
        <v>125</v>
      </c>
      <c r="E134" t="s">
        <v>178</v>
      </c>
      <c r="F134" t="s">
        <v>111</v>
      </c>
      <c r="G134" t="s">
        <v>27</v>
      </c>
      <c r="H134" s="1" t="s">
        <v>28</v>
      </c>
      <c r="I134" t="s">
        <v>52</v>
      </c>
      <c r="J134">
        <v>6.72</v>
      </c>
      <c r="K134">
        <v>100</v>
      </c>
      <c r="L134">
        <v>672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30</v>
      </c>
      <c r="S134" t="s">
        <v>31</v>
      </c>
    </row>
    <row r="135" spans="1:19" x14ac:dyDescent="0.3">
      <c r="A135">
        <v>5146</v>
      </c>
      <c r="B135" t="s">
        <v>39</v>
      </c>
      <c r="C135" t="s">
        <v>23</v>
      </c>
      <c r="D135" t="s">
        <v>61</v>
      </c>
      <c r="E135" t="s">
        <v>179</v>
      </c>
      <c r="F135" t="s">
        <v>111</v>
      </c>
      <c r="G135" t="s">
        <v>27</v>
      </c>
      <c r="H135" s="1" t="s">
        <v>28</v>
      </c>
      <c r="I135" t="s">
        <v>35</v>
      </c>
      <c r="J135">
        <v>2</v>
      </c>
      <c r="K135">
        <v>334.29</v>
      </c>
      <c r="L135">
        <v>668.57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30</v>
      </c>
      <c r="S135" t="s">
        <v>31</v>
      </c>
    </row>
    <row r="136" spans="1:19" x14ac:dyDescent="0.3">
      <c r="A136">
        <v>5147</v>
      </c>
      <c r="B136" t="s">
        <v>39</v>
      </c>
      <c r="C136" t="s">
        <v>23</v>
      </c>
      <c r="D136" t="s">
        <v>79</v>
      </c>
      <c r="E136" t="s">
        <v>180</v>
      </c>
      <c r="F136" t="s">
        <v>111</v>
      </c>
      <c r="G136" t="s">
        <v>27</v>
      </c>
      <c r="H136" s="1" t="s">
        <v>28</v>
      </c>
      <c r="I136" t="s">
        <v>181</v>
      </c>
      <c r="J136">
        <v>19</v>
      </c>
      <c r="K136">
        <v>32.76</v>
      </c>
      <c r="L136">
        <v>622.47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30</v>
      </c>
      <c r="S136" t="s">
        <v>31</v>
      </c>
    </row>
    <row r="137" spans="1:19" x14ac:dyDescent="0.3">
      <c r="A137">
        <v>5148</v>
      </c>
      <c r="B137" t="s">
        <v>39</v>
      </c>
      <c r="C137" t="s">
        <v>23</v>
      </c>
      <c r="D137" t="s">
        <v>109</v>
      </c>
      <c r="E137" t="s">
        <v>182</v>
      </c>
      <c r="F137" t="s">
        <v>111</v>
      </c>
      <c r="G137" t="s">
        <v>27</v>
      </c>
      <c r="H137" s="1" t="s">
        <v>28</v>
      </c>
      <c r="I137" t="s">
        <v>121</v>
      </c>
      <c r="J137">
        <v>2.5299999999999998</v>
      </c>
      <c r="K137">
        <v>238.1</v>
      </c>
      <c r="L137">
        <v>602.38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30</v>
      </c>
      <c r="S137" t="s">
        <v>31</v>
      </c>
    </row>
    <row r="138" spans="1:19" x14ac:dyDescent="0.3">
      <c r="A138">
        <v>5149</v>
      </c>
      <c r="B138" t="s">
        <v>39</v>
      </c>
      <c r="C138" t="s">
        <v>23</v>
      </c>
      <c r="D138" t="s">
        <v>79</v>
      </c>
      <c r="E138" t="s">
        <v>183</v>
      </c>
      <c r="F138" t="s">
        <v>111</v>
      </c>
      <c r="G138" t="s">
        <v>27</v>
      </c>
      <c r="H138" s="1" t="s">
        <v>28</v>
      </c>
      <c r="I138" t="s">
        <v>35</v>
      </c>
      <c r="J138">
        <v>6</v>
      </c>
      <c r="K138">
        <v>96.41</v>
      </c>
      <c r="L138">
        <v>578.46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30</v>
      </c>
      <c r="S138" t="s">
        <v>31</v>
      </c>
    </row>
    <row r="139" spans="1:19" x14ac:dyDescent="0.3">
      <c r="A139">
        <v>5150</v>
      </c>
      <c r="B139" t="s">
        <v>36</v>
      </c>
      <c r="C139" t="s">
        <v>23</v>
      </c>
      <c r="D139" t="s">
        <v>36</v>
      </c>
      <c r="E139" t="s">
        <v>184</v>
      </c>
      <c r="F139" t="s">
        <v>111</v>
      </c>
      <c r="G139" t="s">
        <v>27</v>
      </c>
      <c r="H139" s="1" t="s">
        <v>28</v>
      </c>
      <c r="I139" t="s">
        <v>35</v>
      </c>
      <c r="J139">
        <v>1</v>
      </c>
      <c r="K139">
        <v>571.42999999999995</v>
      </c>
      <c r="L139">
        <v>571.42999999999995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30</v>
      </c>
      <c r="S139" t="s">
        <v>31</v>
      </c>
    </row>
    <row r="140" spans="1:19" x14ac:dyDescent="0.3">
      <c r="A140">
        <v>5151</v>
      </c>
      <c r="B140" t="s">
        <v>39</v>
      </c>
      <c r="C140" t="s">
        <v>23</v>
      </c>
      <c r="D140" t="s">
        <v>79</v>
      </c>
      <c r="E140" t="s">
        <v>185</v>
      </c>
      <c r="F140" t="s">
        <v>111</v>
      </c>
      <c r="G140" t="s">
        <v>27</v>
      </c>
      <c r="H140" s="1" t="s">
        <v>28</v>
      </c>
      <c r="I140" t="s">
        <v>177</v>
      </c>
      <c r="J140">
        <v>7</v>
      </c>
      <c r="K140">
        <v>78.099999999999994</v>
      </c>
      <c r="L140">
        <v>546.66999999999996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30</v>
      </c>
      <c r="S140" t="s">
        <v>31</v>
      </c>
    </row>
    <row r="141" spans="1:19" x14ac:dyDescent="0.3">
      <c r="A141">
        <v>5152</v>
      </c>
      <c r="B141" t="s">
        <v>39</v>
      </c>
      <c r="C141" t="s">
        <v>23</v>
      </c>
      <c r="D141" t="s">
        <v>79</v>
      </c>
      <c r="E141" t="s">
        <v>186</v>
      </c>
      <c r="F141" t="s">
        <v>111</v>
      </c>
      <c r="G141" t="s">
        <v>27</v>
      </c>
      <c r="H141" s="1" t="s">
        <v>28</v>
      </c>
      <c r="I141" t="s">
        <v>74</v>
      </c>
      <c r="J141">
        <v>48</v>
      </c>
      <c r="K141">
        <v>10.99</v>
      </c>
      <c r="L141">
        <v>527.66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30</v>
      </c>
      <c r="S141" t="s">
        <v>31</v>
      </c>
    </row>
    <row r="142" spans="1:19" x14ac:dyDescent="0.3">
      <c r="A142">
        <v>5153</v>
      </c>
      <c r="B142" t="s">
        <v>39</v>
      </c>
      <c r="C142" t="s">
        <v>23</v>
      </c>
      <c r="D142" t="s">
        <v>69</v>
      </c>
      <c r="E142" t="s">
        <v>187</v>
      </c>
      <c r="F142" t="s">
        <v>111</v>
      </c>
      <c r="G142" t="s">
        <v>27</v>
      </c>
      <c r="H142" s="1" t="s">
        <v>28</v>
      </c>
      <c r="I142" t="s">
        <v>52</v>
      </c>
      <c r="J142">
        <v>141.79</v>
      </c>
      <c r="K142">
        <v>3.5</v>
      </c>
      <c r="L142">
        <v>495.59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30</v>
      </c>
      <c r="S142" t="s">
        <v>31</v>
      </c>
    </row>
    <row r="143" spans="1:19" x14ac:dyDescent="0.3">
      <c r="A143">
        <v>5154</v>
      </c>
      <c r="B143" t="s">
        <v>39</v>
      </c>
      <c r="C143" t="s">
        <v>23</v>
      </c>
      <c r="D143" t="s">
        <v>50</v>
      </c>
      <c r="E143" t="s">
        <v>187</v>
      </c>
      <c r="F143" t="s">
        <v>111</v>
      </c>
      <c r="G143" t="s">
        <v>27</v>
      </c>
      <c r="H143" s="1" t="s">
        <v>28</v>
      </c>
      <c r="I143" t="s">
        <v>52</v>
      </c>
      <c r="J143">
        <v>141.79</v>
      </c>
      <c r="K143">
        <v>3.5</v>
      </c>
      <c r="L143">
        <v>495.59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30</v>
      </c>
      <c r="S143" t="s">
        <v>31</v>
      </c>
    </row>
    <row r="144" spans="1:19" x14ac:dyDescent="0.3">
      <c r="A144">
        <v>5155</v>
      </c>
      <c r="B144" t="s">
        <v>54</v>
      </c>
      <c r="C144" t="s">
        <v>23</v>
      </c>
      <c r="D144" t="s">
        <v>54</v>
      </c>
      <c r="E144" t="s">
        <v>188</v>
      </c>
      <c r="F144" t="s">
        <v>111</v>
      </c>
      <c r="G144" t="s">
        <v>27</v>
      </c>
      <c r="H144" s="1" t="s">
        <v>28</v>
      </c>
      <c r="I144" t="s">
        <v>35</v>
      </c>
      <c r="J144">
        <v>2</v>
      </c>
      <c r="K144">
        <v>229.87</v>
      </c>
      <c r="L144">
        <v>459.73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30</v>
      </c>
      <c r="S144" t="s">
        <v>31</v>
      </c>
    </row>
    <row r="145" spans="1:19" x14ac:dyDescent="0.3">
      <c r="A145">
        <v>5156</v>
      </c>
      <c r="B145" t="s">
        <v>39</v>
      </c>
      <c r="C145" t="s">
        <v>23</v>
      </c>
      <c r="D145" t="s">
        <v>79</v>
      </c>
      <c r="E145" t="s">
        <v>189</v>
      </c>
      <c r="F145" t="s">
        <v>111</v>
      </c>
      <c r="G145" t="s">
        <v>27</v>
      </c>
      <c r="H145" s="1" t="s">
        <v>28</v>
      </c>
      <c r="I145" t="s">
        <v>74</v>
      </c>
      <c r="J145">
        <v>72</v>
      </c>
      <c r="K145">
        <v>6.22</v>
      </c>
      <c r="L145">
        <v>447.53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30</v>
      </c>
      <c r="S145" t="s">
        <v>31</v>
      </c>
    </row>
    <row r="146" spans="1:19" x14ac:dyDescent="0.3">
      <c r="A146">
        <v>5157</v>
      </c>
      <c r="B146" t="s">
        <v>39</v>
      </c>
      <c r="C146" t="s">
        <v>23</v>
      </c>
      <c r="D146" t="s">
        <v>146</v>
      </c>
      <c r="E146" t="s">
        <v>190</v>
      </c>
      <c r="F146" t="s">
        <v>111</v>
      </c>
      <c r="G146" t="s">
        <v>27</v>
      </c>
      <c r="H146" s="1" t="s">
        <v>28</v>
      </c>
      <c r="I146" t="s">
        <v>35</v>
      </c>
      <c r="J146">
        <v>2</v>
      </c>
      <c r="K146">
        <v>221.62</v>
      </c>
      <c r="L146">
        <v>443.24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</v>
      </c>
      <c r="S146" t="s">
        <v>31</v>
      </c>
    </row>
    <row r="147" spans="1:19" x14ac:dyDescent="0.3">
      <c r="A147">
        <v>5158</v>
      </c>
      <c r="B147" t="s">
        <v>39</v>
      </c>
      <c r="C147" t="s">
        <v>23</v>
      </c>
      <c r="D147" t="s">
        <v>109</v>
      </c>
      <c r="E147" t="s">
        <v>191</v>
      </c>
      <c r="F147" t="s">
        <v>111</v>
      </c>
      <c r="G147" t="s">
        <v>27</v>
      </c>
      <c r="H147" s="1" t="s">
        <v>28</v>
      </c>
      <c r="I147" t="s">
        <v>52</v>
      </c>
      <c r="J147">
        <v>18.899999999999999</v>
      </c>
      <c r="K147">
        <v>20.14</v>
      </c>
      <c r="L147">
        <v>380.7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30</v>
      </c>
      <c r="S147" t="s">
        <v>31</v>
      </c>
    </row>
    <row r="148" spans="1:19" x14ac:dyDescent="0.3">
      <c r="A148">
        <v>5159</v>
      </c>
      <c r="B148" t="s">
        <v>39</v>
      </c>
      <c r="C148" t="s">
        <v>23</v>
      </c>
      <c r="D148" t="s">
        <v>98</v>
      </c>
      <c r="E148" t="s">
        <v>192</v>
      </c>
      <c r="F148" t="s">
        <v>111</v>
      </c>
      <c r="G148" t="s">
        <v>27</v>
      </c>
      <c r="H148" s="1" t="s">
        <v>28</v>
      </c>
      <c r="I148" t="s">
        <v>29</v>
      </c>
      <c r="J148">
        <v>1</v>
      </c>
      <c r="K148">
        <v>366.67</v>
      </c>
      <c r="L148">
        <v>366.67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</v>
      </c>
      <c r="S148" t="s">
        <v>31</v>
      </c>
    </row>
    <row r="149" spans="1:19" x14ac:dyDescent="0.3">
      <c r="A149">
        <v>5160</v>
      </c>
      <c r="B149" t="s">
        <v>39</v>
      </c>
      <c r="C149" t="s">
        <v>23</v>
      </c>
      <c r="D149" t="s">
        <v>155</v>
      </c>
      <c r="E149" t="s">
        <v>193</v>
      </c>
      <c r="F149" t="s">
        <v>111</v>
      </c>
      <c r="G149" t="s">
        <v>27</v>
      </c>
      <c r="H149" s="1" t="s">
        <v>28</v>
      </c>
      <c r="I149" t="s">
        <v>35</v>
      </c>
      <c r="J149">
        <v>1</v>
      </c>
      <c r="K149">
        <v>350.48</v>
      </c>
      <c r="L149">
        <v>350.48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30</v>
      </c>
      <c r="S149" t="s">
        <v>31</v>
      </c>
    </row>
    <row r="150" spans="1:19" x14ac:dyDescent="0.3">
      <c r="A150">
        <v>5161</v>
      </c>
      <c r="B150" t="s">
        <v>39</v>
      </c>
      <c r="C150" t="s">
        <v>23</v>
      </c>
      <c r="D150" t="s">
        <v>98</v>
      </c>
      <c r="E150" t="s">
        <v>194</v>
      </c>
      <c r="F150" t="s">
        <v>111</v>
      </c>
      <c r="G150" t="s">
        <v>27</v>
      </c>
      <c r="H150" s="1" t="s">
        <v>28</v>
      </c>
      <c r="I150" t="s">
        <v>29</v>
      </c>
      <c r="J150">
        <v>1</v>
      </c>
      <c r="K150">
        <v>347.62</v>
      </c>
      <c r="L150">
        <v>347.62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30</v>
      </c>
      <c r="S150" t="s">
        <v>31</v>
      </c>
    </row>
    <row r="151" spans="1:19" x14ac:dyDescent="0.3">
      <c r="A151">
        <v>5162</v>
      </c>
      <c r="B151" t="s">
        <v>39</v>
      </c>
      <c r="C151" t="s">
        <v>23</v>
      </c>
      <c r="D151" t="s">
        <v>109</v>
      </c>
      <c r="E151" t="s">
        <v>195</v>
      </c>
      <c r="F151" t="s">
        <v>111</v>
      </c>
      <c r="G151" t="s">
        <v>27</v>
      </c>
      <c r="H151" s="1" t="s">
        <v>28</v>
      </c>
      <c r="I151" t="s">
        <v>112</v>
      </c>
      <c r="J151">
        <v>156.75</v>
      </c>
      <c r="K151">
        <v>2.19</v>
      </c>
      <c r="L151">
        <v>343.36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30</v>
      </c>
      <c r="S151" t="s">
        <v>31</v>
      </c>
    </row>
    <row r="152" spans="1:19" x14ac:dyDescent="0.3">
      <c r="A152">
        <v>5163</v>
      </c>
      <c r="B152" t="s">
        <v>39</v>
      </c>
      <c r="C152" t="s">
        <v>23</v>
      </c>
      <c r="D152" t="s">
        <v>98</v>
      </c>
      <c r="E152" t="s">
        <v>196</v>
      </c>
      <c r="F152" t="s">
        <v>111</v>
      </c>
      <c r="G152" t="s">
        <v>27</v>
      </c>
      <c r="H152" s="1" t="s">
        <v>28</v>
      </c>
      <c r="I152" t="s">
        <v>29</v>
      </c>
      <c r="J152">
        <v>1</v>
      </c>
      <c r="K152">
        <v>340.39</v>
      </c>
      <c r="L152">
        <v>340.39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30</v>
      </c>
      <c r="S152" t="s">
        <v>31</v>
      </c>
    </row>
    <row r="153" spans="1:19" x14ac:dyDescent="0.3">
      <c r="A153">
        <v>5164</v>
      </c>
      <c r="B153" t="s">
        <v>39</v>
      </c>
      <c r="C153" t="s">
        <v>23</v>
      </c>
      <c r="D153" t="s">
        <v>98</v>
      </c>
      <c r="E153" t="s">
        <v>197</v>
      </c>
      <c r="F153" t="s">
        <v>111</v>
      </c>
      <c r="G153" t="s">
        <v>27</v>
      </c>
      <c r="H153" s="1" t="s">
        <v>28</v>
      </c>
      <c r="I153" t="s">
        <v>74</v>
      </c>
      <c r="J153">
        <v>60</v>
      </c>
      <c r="K153">
        <v>5.01</v>
      </c>
      <c r="L153">
        <v>300.57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30</v>
      </c>
      <c r="S153" t="s">
        <v>31</v>
      </c>
    </row>
    <row r="154" spans="1:19" x14ac:dyDescent="0.3">
      <c r="A154">
        <v>5165</v>
      </c>
      <c r="B154" t="s">
        <v>39</v>
      </c>
      <c r="C154" t="s">
        <v>23</v>
      </c>
      <c r="D154" t="s">
        <v>98</v>
      </c>
      <c r="E154" t="s">
        <v>198</v>
      </c>
      <c r="F154" t="s">
        <v>111</v>
      </c>
      <c r="G154" t="s">
        <v>27</v>
      </c>
      <c r="H154" s="1" t="s">
        <v>28</v>
      </c>
      <c r="I154" t="s">
        <v>29</v>
      </c>
      <c r="J154">
        <v>1</v>
      </c>
      <c r="K154">
        <v>284.51</v>
      </c>
      <c r="L154">
        <v>284.51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30</v>
      </c>
      <c r="S154" t="s">
        <v>31</v>
      </c>
    </row>
    <row r="155" spans="1:19" x14ac:dyDescent="0.3">
      <c r="A155">
        <v>5166</v>
      </c>
      <c r="B155" t="s">
        <v>39</v>
      </c>
      <c r="C155" t="s">
        <v>23</v>
      </c>
      <c r="D155" t="s">
        <v>129</v>
      </c>
      <c r="E155" t="s">
        <v>199</v>
      </c>
      <c r="F155" t="s">
        <v>111</v>
      </c>
      <c r="G155" t="s">
        <v>27</v>
      </c>
      <c r="H155" s="1" t="s">
        <v>28</v>
      </c>
      <c r="I155" t="s">
        <v>74</v>
      </c>
      <c r="J155">
        <v>21</v>
      </c>
      <c r="K155">
        <v>13.38</v>
      </c>
      <c r="L155">
        <v>281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30</v>
      </c>
      <c r="S155" t="s">
        <v>31</v>
      </c>
    </row>
    <row r="156" spans="1:19" x14ac:dyDescent="0.3">
      <c r="A156">
        <v>5167</v>
      </c>
      <c r="B156" t="s">
        <v>39</v>
      </c>
      <c r="C156" t="s">
        <v>23</v>
      </c>
      <c r="D156" t="s">
        <v>79</v>
      </c>
      <c r="E156" t="s">
        <v>200</v>
      </c>
      <c r="F156" t="s">
        <v>111</v>
      </c>
      <c r="G156" t="s">
        <v>27</v>
      </c>
      <c r="H156" s="1" t="s">
        <v>28</v>
      </c>
      <c r="I156" t="s">
        <v>74</v>
      </c>
      <c r="J156">
        <v>36</v>
      </c>
      <c r="K156">
        <v>7.78</v>
      </c>
      <c r="L156">
        <v>280.11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30</v>
      </c>
      <c r="S156" t="s">
        <v>31</v>
      </c>
    </row>
    <row r="157" spans="1:19" x14ac:dyDescent="0.3">
      <c r="A157">
        <v>5168</v>
      </c>
      <c r="B157" t="s">
        <v>39</v>
      </c>
      <c r="C157" t="s">
        <v>23</v>
      </c>
      <c r="D157" t="s">
        <v>79</v>
      </c>
      <c r="E157" t="s">
        <v>201</v>
      </c>
      <c r="F157" t="s">
        <v>111</v>
      </c>
      <c r="G157" t="s">
        <v>27</v>
      </c>
      <c r="H157" s="1" t="s">
        <v>28</v>
      </c>
      <c r="I157" t="s">
        <v>177</v>
      </c>
      <c r="J157">
        <v>6</v>
      </c>
      <c r="K157">
        <v>43.71</v>
      </c>
      <c r="L157">
        <v>262.29000000000002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30</v>
      </c>
      <c r="S157" t="s">
        <v>31</v>
      </c>
    </row>
    <row r="158" spans="1:19" x14ac:dyDescent="0.3">
      <c r="A158">
        <v>5169</v>
      </c>
      <c r="B158" t="s">
        <v>39</v>
      </c>
      <c r="C158" t="s">
        <v>23</v>
      </c>
      <c r="D158" t="s">
        <v>98</v>
      </c>
      <c r="E158" t="s">
        <v>202</v>
      </c>
      <c r="F158" t="s">
        <v>111</v>
      </c>
      <c r="G158" t="s">
        <v>27</v>
      </c>
      <c r="H158" s="1" t="s">
        <v>28</v>
      </c>
      <c r="I158" t="s">
        <v>52</v>
      </c>
      <c r="J158">
        <v>49.68</v>
      </c>
      <c r="K158">
        <v>5.14</v>
      </c>
      <c r="L158">
        <v>255.5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30</v>
      </c>
      <c r="S158" t="s">
        <v>31</v>
      </c>
    </row>
    <row r="159" spans="1:19" x14ac:dyDescent="0.3">
      <c r="A159">
        <v>5170</v>
      </c>
      <c r="B159" t="s">
        <v>39</v>
      </c>
      <c r="C159" t="s">
        <v>23</v>
      </c>
      <c r="D159" t="s">
        <v>79</v>
      </c>
      <c r="E159" t="s">
        <v>203</v>
      </c>
      <c r="F159" t="s">
        <v>111</v>
      </c>
      <c r="G159" t="s">
        <v>27</v>
      </c>
      <c r="H159" s="1" t="s">
        <v>28</v>
      </c>
      <c r="I159" t="s">
        <v>181</v>
      </c>
      <c r="J159">
        <v>9</v>
      </c>
      <c r="K159">
        <v>28.03</v>
      </c>
      <c r="L159">
        <v>252.27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30</v>
      </c>
      <c r="S159" t="s">
        <v>31</v>
      </c>
    </row>
    <row r="160" spans="1:19" x14ac:dyDescent="0.3">
      <c r="A160">
        <v>5171</v>
      </c>
      <c r="B160" t="s">
        <v>39</v>
      </c>
      <c r="C160" t="s">
        <v>23</v>
      </c>
      <c r="D160" t="s">
        <v>79</v>
      </c>
      <c r="E160" t="s">
        <v>204</v>
      </c>
      <c r="F160" t="s">
        <v>111</v>
      </c>
      <c r="G160" t="s">
        <v>27</v>
      </c>
      <c r="H160" s="1" t="s">
        <v>28</v>
      </c>
      <c r="I160" t="s">
        <v>181</v>
      </c>
      <c r="J160">
        <v>7</v>
      </c>
      <c r="K160">
        <v>34.82</v>
      </c>
      <c r="L160">
        <v>243.77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</v>
      </c>
      <c r="S160" t="s">
        <v>31</v>
      </c>
    </row>
    <row r="161" spans="1:19" x14ac:dyDescent="0.3">
      <c r="A161">
        <v>5172</v>
      </c>
      <c r="B161" t="s">
        <v>39</v>
      </c>
      <c r="C161" t="s">
        <v>23</v>
      </c>
      <c r="D161" t="s">
        <v>79</v>
      </c>
      <c r="E161" t="s">
        <v>205</v>
      </c>
      <c r="F161" t="s">
        <v>111</v>
      </c>
      <c r="G161" t="s">
        <v>27</v>
      </c>
      <c r="H161" s="1" t="s">
        <v>28</v>
      </c>
      <c r="I161" t="s">
        <v>177</v>
      </c>
      <c r="J161">
        <v>1</v>
      </c>
      <c r="K161">
        <v>234.25</v>
      </c>
      <c r="L161">
        <v>234.25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30</v>
      </c>
      <c r="S161" t="s">
        <v>31</v>
      </c>
    </row>
    <row r="162" spans="1:19" x14ac:dyDescent="0.3">
      <c r="A162">
        <v>5173</v>
      </c>
      <c r="B162" t="s">
        <v>39</v>
      </c>
      <c r="C162" t="s">
        <v>23</v>
      </c>
      <c r="D162" t="s">
        <v>98</v>
      </c>
      <c r="E162" t="s">
        <v>206</v>
      </c>
      <c r="F162" t="s">
        <v>111</v>
      </c>
      <c r="G162" t="s">
        <v>27</v>
      </c>
      <c r="H162" s="1" t="s">
        <v>28</v>
      </c>
      <c r="I162" t="s">
        <v>29</v>
      </c>
      <c r="J162">
        <v>1</v>
      </c>
      <c r="K162">
        <v>228.57</v>
      </c>
      <c r="L162">
        <v>228.57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30</v>
      </c>
      <c r="S162" t="s">
        <v>31</v>
      </c>
    </row>
    <row r="163" spans="1:19" x14ac:dyDescent="0.3">
      <c r="A163">
        <v>5174</v>
      </c>
      <c r="B163" t="s">
        <v>39</v>
      </c>
      <c r="C163" t="s">
        <v>23</v>
      </c>
      <c r="D163" t="s">
        <v>79</v>
      </c>
      <c r="E163" t="s">
        <v>207</v>
      </c>
      <c r="F163" t="s">
        <v>111</v>
      </c>
      <c r="G163" t="s">
        <v>27</v>
      </c>
      <c r="H163" s="1" t="s">
        <v>28</v>
      </c>
      <c r="I163" t="s">
        <v>177</v>
      </c>
      <c r="J163">
        <v>1</v>
      </c>
      <c r="K163">
        <v>212.46</v>
      </c>
      <c r="L163">
        <v>212.46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30</v>
      </c>
      <c r="S163" t="s">
        <v>31</v>
      </c>
    </row>
    <row r="164" spans="1:19" x14ac:dyDescent="0.3">
      <c r="A164">
        <v>5175</v>
      </c>
      <c r="B164" t="s">
        <v>39</v>
      </c>
      <c r="C164" t="s">
        <v>23</v>
      </c>
      <c r="D164" t="s">
        <v>69</v>
      </c>
      <c r="E164" t="s">
        <v>208</v>
      </c>
      <c r="F164" t="s">
        <v>111</v>
      </c>
      <c r="G164" t="s">
        <v>27</v>
      </c>
      <c r="H164" s="1" t="s">
        <v>28</v>
      </c>
      <c r="I164" t="s">
        <v>52</v>
      </c>
      <c r="J164">
        <v>72.16</v>
      </c>
      <c r="K164">
        <v>2.88</v>
      </c>
      <c r="L164">
        <v>207.56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30</v>
      </c>
      <c r="S164" t="s">
        <v>31</v>
      </c>
    </row>
    <row r="165" spans="1:19" x14ac:dyDescent="0.3">
      <c r="A165">
        <v>5176</v>
      </c>
      <c r="B165" t="s">
        <v>39</v>
      </c>
      <c r="C165" t="s">
        <v>23</v>
      </c>
      <c r="D165" t="s">
        <v>50</v>
      </c>
      <c r="E165" t="s">
        <v>208</v>
      </c>
      <c r="F165" t="s">
        <v>111</v>
      </c>
      <c r="G165" t="s">
        <v>27</v>
      </c>
      <c r="H165" s="1" t="s">
        <v>28</v>
      </c>
      <c r="I165" t="s">
        <v>52</v>
      </c>
      <c r="J165">
        <v>72.16</v>
      </c>
      <c r="K165">
        <v>2.88</v>
      </c>
      <c r="L165">
        <v>207.56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30</v>
      </c>
      <c r="S165" t="s">
        <v>31</v>
      </c>
    </row>
    <row r="166" spans="1:19" x14ac:dyDescent="0.3">
      <c r="A166">
        <v>5177</v>
      </c>
      <c r="B166" t="s">
        <v>39</v>
      </c>
      <c r="C166" t="s">
        <v>23</v>
      </c>
      <c r="D166" t="s">
        <v>79</v>
      </c>
      <c r="E166" t="s">
        <v>209</v>
      </c>
      <c r="F166" t="s">
        <v>111</v>
      </c>
      <c r="G166" t="s">
        <v>27</v>
      </c>
      <c r="H166" s="1" t="s">
        <v>28</v>
      </c>
      <c r="I166" t="s">
        <v>177</v>
      </c>
      <c r="J166">
        <v>1</v>
      </c>
      <c r="K166">
        <v>166.31</v>
      </c>
      <c r="L166">
        <v>166.31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30</v>
      </c>
      <c r="S166" t="s">
        <v>31</v>
      </c>
    </row>
    <row r="167" spans="1:19" x14ac:dyDescent="0.3">
      <c r="A167">
        <v>5178</v>
      </c>
      <c r="B167" t="s">
        <v>39</v>
      </c>
      <c r="C167" t="s">
        <v>23</v>
      </c>
      <c r="D167" t="s">
        <v>79</v>
      </c>
      <c r="E167" t="s">
        <v>210</v>
      </c>
      <c r="F167" t="s">
        <v>111</v>
      </c>
      <c r="G167" t="s">
        <v>27</v>
      </c>
      <c r="H167" s="1" t="s">
        <v>28</v>
      </c>
      <c r="I167" t="s">
        <v>177</v>
      </c>
      <c r="J167">
        <v>1</v>
      </c>
      <c r="K167">
        <v>150.86000000000001</v>
      </c>
      <c r="L167">
        <v>150.86000000000001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30</v>
      </c>
      <c r="S167" t="s">
        <v>31</v>
      </c>
    </row>
    <row r="168" spans="1:19" x14ac:dyDescent="0.3">
      <c r="A168">
        <v>5179</v>
      </c>
      <c r="B168" t="s">
        <v>39</v>
      </c>
      <c r="C168" t="s">
        <v>23</v>
      </c>
      <c r="D168" t="s">
        <v>79</v>
      </c>
      <c r="E168" t="s">
        <v>211</v>
      </c>
      <c r="F168" t="s">
        <v>111</v>
      </c>
      <c r="G168" t="s">
        <v>27</v>
      </c>
      <c r="H168" s="1" t="s">
        <v>28</v>
      </c>
      <c r="I168" t="s">
        <v>177</v>
      </c>
      <c r="J168">
        <v>1</v>
      </c>
      <c r="K168">
        <v>100</v>
      </c>
      <c r="L168">
        <v>100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30</v>
      </c>
      <c r="S168" t="s">
        <v>31</v>
      </c>
    </row>
    <row r="169" spans="1:19" x14ac:dyDescent="0.3">
      <c r="A169">
        <v>5180</v>
      </c>
      <c r="B169" t="s">
        <v>39</v>
      </c>
      <c r="C169" t="s">
        <v>23</v>
      </c>
      <c r="D169" t="s">
        <v>212</v>
      </c>
      <c r="E169" t="s">
        <v>213</v>
      </c>
      <c r="F169" t="s">
        <v>214</v>
      </c>
      <c r="G169" t="s">
        <v>27</v>
      </c>
      <c r="H169" s="1" t="s">
        <v>28</v>
      </c>
      <c r="I169" t="s">
        <v>112</v>
      </c>
      <c r="J169">
        <v>62300</v>
      </c>
      <c r="K169">
        <v>3.33</v>
      </c>
      <c r="L169">
        <v>207666.67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30</v>
      </c>
      <c r="S169" t="s">
        <v>31</v>
      </c>
    </row>
    <row r="170" spans="1:19" x14ac:dyDescent="0.3">
      <c r="A170">
        <v>5181</v>
      </c>
      <c r="B170" t="s">
        <v>32</v>
      </c>
      <c r="C170" t="s">
        <v>23</v>
      </c>
      <c r="D170" t="s">
        <v>215</v>
      </c>
      <c r="E170" t="s">
        <v>216</v>
      </c>
      <c r="F170" t="s">
        <v>214</v>
      </c>
      <c r="G170" t="s">
        <v>27</v>
      </c>
      <c r="H170" s="1" t="s">
        <v>28</v>
      </c>
      <c r="I170" t="s">
        <v>29</v>
      </c>
      <c r="J170">
        <v>1</v>
      </c>
      <c r="K170">
        <v>60000</v>
      </c>
      <c r="L170">
        <v>60000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30</v>
      </c>
      <c r="S170" t="s">
        <v>31</v>
      </c>
    </row>
    <row r="171" spans="1:19" x14ac:dyDescent="0.3">
      <c r="A171">
        <v>5182</v>
      </c>
      <c r="B171" t="s">
        <v>32</v>
      </c>
      <c r="C171" t="s">
        <v>23</v>
      </c>
      <c r="D171" t="s">
        <v>217</v>
      </c>
      <c r="E171" t="s">
        <v>218</v>
      </c>
      <c r="F171" t="s">
        <v>214</v>
      </c>
      <c r="G171" t="s">
        <v>27</v>
      </c>
      <c r="H171" s="1" t="s">
        <v>28</v>
      </c>
      <c r="I171" t="s">
        <v>35</v>
      </c>
      <c r="J171">
        <v>1</v>
      </c>
      <c r="K171">
        <v>57142.86</v>
      </c>
      <c r="L171">
        <v>57142.86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30</v>
      </c>
      <c r="S171" t="s">
        <v>31</v>
      </c>
    </row>
    <row r="172" spans="1:19" x14ac:dyDescent="0.3">
      <c r="A172">
        <v>5183</v>
      </c>
      <c r="B172" t="s">
        <v>219</v>
      </c>
      <c r="C172" t="s">
        <v>23</v>
      </c>
      <c r="D172" t="s">
        <v>220</v>
      </c>
      <c r="E172" t="s">
        <v>221</v>
      </c>
      <c r="F172" t="s">
        <v>214</v>
      </c>
      <c r="G172" t="s">
        <v>27</v>
      </c>
      <c r="H172" s="1" t="s">
        <v>28</v>
      </c>
      <c r="I172" t="s">
        <v>35</v>
      </c>
      <c r="J172">
        <v>1</v>
      </c>
      <c r="K172">
        <v>47619.05</v>
      </c>
      <c r="L172">
        <v>47619.05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30</v>
      </c>
      <c r="S172" t="s">
        <v>31</v>
      </c>
    </row>
    <row r="173" spans="1:19" x14ac:dyDescent="0.3">
      <c r="A173">
        <v>5184</v>
      </c>
      <c r="B173" t="s">
        <v>32</v>
      </c>
      <c r="C173" t="s">
        <v>23</v>
      </c>
      <c r="D173" t="s">
        <v>222</v>
      </c>
      <c r="E173" t="s">
        <v>223</v>
      </c>
      <c r="F173" t="s">
        <v>214</v>
      </c>
      <c r="G173" t="s">
        <v>27</v>
      </c>
      <c r="H173" s="1" t="s">
        <v>28</v>
      </c>
      <c r="I173" t="s">
        <v>35</v>
      </c>
      <c r="J173">
        <v>1</v>
      </c>
      <c r="K173">
        <v>47619.05</v>
      </c>
      <c r="L173">
        <v>47619.05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30</v>
      </c>
      <c r="S173" t="s">
        <v>31</v>
      </c>
    </row>
    <row r="174" spans="1:19" x14ac:dyDescent="0.3">
      <c r="A174">
        <v>5185</v>
      </c>
      <c r="B174" t="s">
        <v>39</v>
      </c>
      <c r="C174" t="s">
        <v>23</v>
      </c>
      <c r="D174" t="s">
        <v>212</v>
      </c>
      <c r="E174" t="s">
        <v>224</v>
      </c>
      <c r="F174" t="s">
        <v>214</v>
      </c>
      <c r="G174" t="s">
        <v>27</v>
      </c>
      <c r="H174" s="1" t="s">
        <v>28</v>
      </c>
      <c r="I174" t="s">
        <v>121</v>
      </c>
      <c r="J174">
        <v>160.19999999999999</v>
      </c>
      <c r="K174">
        <v>268.57</v>
      </c>
      <c r="L174">
        <v>43025.14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</v>
      </c>
      <c r="S174" t="s">
        <v>31</v>
      </c>
    </row>
    <row r="175" spans="1:19" x14ac:dyDescent="0.3">
      <c r="A175">
        <v>5186</v>
      </c>
      <c r="B175" t="s">
        <v>39</v>
      </c>
      <c r="C175" t="s">
        <v>23</v>
      </c>
      <c r="D175" t="s">
        <v>212</v>
      </c>
      <c r="E175" t="s">
        <v>119</v>
      </c>
      <c r="F175" t="s">
        <v>214</v>
      </c>
      <c r="G175" t="s">
        <v>27</v>
      </c>
      <c r="H175" s="1" t="s">
        <v>28</v>
      </c>
      <c r="I175" t="s">
        <v>112</v>
      </c>
      <c r="J175">
        <v>12460</v>
      </c>
      <c r="K175">
        <v>3.33</v>
      </c>
      <c r="L175">
        <v>41533.33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30</v>
      </c>
      <c r="S175" t="s">
        <v>31</v>
      </c>
    </row>
    <row r="176" spans="1:19" x14ac:dyDescent="0.3">
      <c r="A176">
        <v>5187</v>
      </c>
      <c r="B176" t="s">
        <v>39</v>
      </c>
      <c r="C176" t="s">
        <v>23</v>
      </c>
      <c r="D176" t="s">
        <v>212</v>
      </c>
      <c r="E176" t="s">
        <v>225</v>
      </c>
      <c r="F176" t="s">
        <v>214</v>
      </c>
      <c r="G176" t="s">
        <v>27</v>
      </c>
      <c r="H176" s="1" t="s">
        <v>28</v>
      </c>
      <c r="I176" t="s">
        <v>121</v>
      </c>
      <c r="J176">
        <v>119.3</v>
      </c>
      <c r="K176">
        <v>268.57</v>
      </c>
      <c r="L176">
        <v>32040.57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30</v>
      </c>
      <c r="S176" t="s">
        <v>31</v>
      </c>
    </row>
    <row r="177" spans="1:19" x14ac:dyDescent="0.3">
      <c r="A177">
        <v>5188</v>
      </c>
      <c r="B177" t="s">
        <v>42</v>
      </c>
      <c r="C177" t="s">
        <v>23</v>
      </c>
      <c r="D177" t="s">
        <v>217</v>
      </c>
      <c r="E177" t="s">
        <v>226</v>
      </c>
      <c r="F177" t="s">
        <v>214</v>
      </c>
      <c r="G177" t="s">
        <v>27</v>
      </c>
      <c r="H177" s="1" t="s">
        <v>28</v>
      </c>
      <c r="I177" t="s">
        <v>29</v>
      </c>
      <c r="J177">
        <v>1</v>
      </c>
      <c r="K177">
        <v>30000</v>
      </c>
      <c r="L177">
        <v>30000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30</v>
      </c>
      <c r="S177" t="s">
        <v>31</v>
      </c>
    </row>
    <row r="178" spans="1:19" x14ac:dyDescent="0.3">
      <c r="A178">
        <v>5189</v>
      </c>
      <c r="B178" t="s">
        <v>39</v>
      </c>
      <c r="C178" t="s">
        <v>23</v>
      </c>
      <c r="D178" t="s">
        <v>129</v>
      </c>
      <c r="E178" t="s">
        <v>130</v>
      </c>
      <c r="F178" t="s">
        <v>214</v>
      </c>
      <c r="G178" t="s">
        <v>27</v>
      </c>
      <c r="H178" s="1" t="s">
        <v>28</v>
      </c>
      <c r="I178" t="s">
        <v>52</v>
      </c>
      <c r="J178">
        <v>2272</v>
      </c>
      <c r="K178">
        <v>11.48</v>
      </c>
      <c r="L178">
        <v>26073.9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30</v>
      </c>
      <c r="S178" t="s">
        <v>31</v>
      </c>
    </row>
    <row r="179" spans="1:19" x14ac:dyDescent="0.3">
      <c r="A179">
        <v>5190</v>
      </c>
      <c r="B179" t="s">
        <v>39</v>
      </c>
      <c r="C179" t="s">
        <v>23</v>
      </c>
      <c r="D179" t="s">
        <v>212</v>
      </c>
      <c r="E179" t="s">
        <v>227</v>
      </c>
      <c r="F179" t="s">
        <v>214</v>
      </c>
      <c r="G179" t="s">
        <v>27</v>
      </c>
      <c r="H179" s="1" t="s">
        <v>28</v>
      </c>
      <c r="I179" t="s">
        <v>29</v>
      </c>
      <c r="J179">
        <v>1</v>
      </c>
      <c r="K179">
        <v>22926.93</v>
      </c>
      <c r="L179">
        <v>22926.93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30</v>
      </c>
      <c r="S179" t="s">
        <v>31</v>
      </c>
    </row>
    <row r="180" spans="1:19" x14ac:dyDescent="0.3">
      <c r="A180">
        <v>5191</v>
      </c>
      <c r="B180" t="s">
        <v>39</v>
      </c>
      <c r="C180" t="s">
        <v>23</v>
      </c>
      <c r="D180" t="s">
        <v>129</v>
      </c>
      <c r="E180" t="s">
        <v>228</v>
      </c>
      <c r="F180" t="s">
        <v>214</v>
      </c>
      <c r="G180" t="s">
        <v>27</v>
      </c>
      <c r="H180" s="1" t="s">
        <v>28</v>
      </c>
      <c r="I180" t="s">
        <v>52</v>
      </c>
      <c r="J180">
        <v>1136</v>
      </c>
      <c r="K180">
        <v>19.45</v>
      </c>
      <c r="L180">
        <v>22092.5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30</v>
      </c>
      <c r="S180" t="s">
        <v>31</v>
      </c>
    </row>
    <row r="181" spans="1:19" x14ac:dyDescent="0.3">
      <c r="A181">
        <v>5192</v>
      </c>
      <c r="B181" t="s">
        <v>39</v>
      </c>
      <c r="C181" t="s">
        <v>23</v>
      </c>
      <c r="D181" t="s">
        <v>212</v>
      </c>
      <c r="E181" t="s">
        <v>150</v>
      </c>
      <c r="F181" t="s">
        <v>214</v>
      </c>
      <c r="G181" t="s">
        <v>27</v>
      </c>
      <c r="H181" s="1" t="s">
        <v>28</v>
      </c>
      <c r="I181" t="s">
        <v>112</v>
      </c>
      <c r="J181">
        <v>9653.25</v>
      </c>
      <c r="K181">
        <v>2.29</v>
      </c>
      <c r="L181">
        <v>22064.57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30</v>
      </c>
      <c r="S181" t="s">
        <v>31</v>
      </c>
    </row>
    <row r="182" spans="1:19" x14ac:dyDescent="0.3">
      <c r="A182">
        <v>5193</v>
      </c>
      <c r="B182" t="s">
        <v>42</v>
      </c>
      <c r="C182" t="s">
        <v>23</v>
      </c>
      <c r="D182" t="s">
        <v>43</v>
      </c>
      <c r="E182" t="s">
        <v>229</v>
      </c>
      <c r="F182" t="s">
        <v>214</v>
      </c>
      <c r="G182" t="s">
        <v>27</v>
      </c>
      <c r="H182" s="1" t="s">
        <v>28</v>
      </c>
      <c r="I182" t="s">
        <v>29</v>
      </c>
      <c r="J182">
        <v>1</v>
      </c>
      <c r="K182">
        <v>17748.3</v>
      </c>
      <c r="L182">
        <v>17748.3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30</v>
      </c>
      <c r="S182" t="s">
        <v>31</v>
      </c>
    </row>
    <row r="183" spans="1:19" x14ac:dyDescent="0.3">
      <c r="A183">
        <v>5194</v>
      </c>
      <c r="B183" t="s">
        <v>22</v>
      </c>
      <c r="C183" t="s">
        <v>23</v>
      </c>
      <c r="D183" t="s">
        <v>24</v>
      </c>
      <c r="E183" t="s">
        <v>25</v>
      </c>
      <c r="F183" t="s">
        <v>214</v>
      </c>
      <c r="G183" t="s">
        <v>27</v>
      </c>
      <c r="H183" s="1" t="s">
        <v>28</v>
      </c>
      <c r="I183" t="s">
        <v>29</v>
      </c>
      <c r="J183">
        <v>1</v>
      </c>
      <c r="K183">
        <v>15000</v>
      </c>
      <c r="L183">
        <v>15000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30</v>
      </c>
      <c r="S183" t="s">
        <v>31</v>
      </c>
    </row>
    <row r="184" spans="1:19" x14ac:dyDescent="0.3">
      <c r="A184">
        <v>5195</v>
      </c>
      <c r="B184" t="s">
        <v>39</v>
      </c>
      <c r="C184" t="s">
        <v>23</v>
      </c>
      <c r="D184" t="s">
        <v>212</v>
      </c>
      <c r="E184" t="s">
        <v>230</v>
      </c>
      <c r="F184" t="s">
        <v>214</v>
      </c>
      <c r="G184" t="s">
        <v>27</v>
      </c>
      <c r="H184" s="1" t="s">
        <v>28</v>
      </c>
      <c r="I184" t="s">
        <v>121</v>
      </c>
      <c r="J184">
        <v>666.52</v>
      </c>
      <c r="K184">
        <v>20.97</v>
      </c>
      <c r="L184">
        <v>13977.88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</v>
      </c>
      <c r="S184" t="s">
        <v>31</v>
      </c>
    </row>
    <row r="185" spans="1:19" x14ac:dyDescent="0.3">
      <c r="A185">
        <v>5196</v>
      </c>
      <c r="B185" t="s">
        <v>39</v>
      </c>
      <c r="C185" t="s">
        <v>23</v>
      </c>
      <c r="D185" t="s">
        <v>98</v>
      </c>
      <c r="E185" t="s">
        <v>231</v>
      </c>
      <c r="F185" t="s">
        <v>214</v>
      </c>
      <c r="G185" t="s">
        <v>27</v>
      </c>
      <c r="H185" s="1" t="s">
        <v>28</v>
      </c>
      <c r="I185" t="s">
        <v>29</v>
      </c>
      <c r="J185">
        <v>1</v>
      </c>
      <c r="K185">
        <v>12402.86</v>
      </c>
      <c r="L185">
        <v>12402.86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30</v>
      </c>
      <c r="S185" t="s">
        <v>31</v>
      </c>
    </row>
    <row r="186" spans="1:19" x14ac:dyDescent="0.3">
      <c r="A186">
        <v>5197</v>
      </c>
      <c r="B186" t="s">
        <v>39</v>
      </c>
      <c r="C186" t="s">
        <v>23</v>
      </c>
      <c r="D186" t="s">
        <v>212</v>
      </c>
      <c r="E186" t="s">
        <v>232</v>
      </c>
      <c r="F186" t="s">
        <v>214</v>
      </c>
      <c r="G186" t="s">
        <v>27</v>
      </c>
      <c r="H186" s="1" t="s">
        <v>28</v>
      </c>
      <c r="I186" t="s">
        <v>52</v>
      </c>
      <c r="J186">
        <v>890</v>
      </c>
      <c r="K186">
        <v>13.73</v>
      </c>
      <c r="L186">
        <v>12222.67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30</v>
      </c>
      <c r="S186" t="s">
        <v>31</v>
      </c>
    </row>
    <row r="187" spans="1:19" x14ac:dyDescent="0.3">
      <c r="A187">
        <v>5198</v>
      </c>
      <c r="B187" t="s">
        <v>39</v>
      </c>
      <c r="C187" t="s">
        <v>23</v>
      </c>
      <c r="D187" t="s">
        <v>129</v>
      </c>
      <c r="E187" t="s">
        <v>153</v>
      </c>
      <c r="F187" t="s">
        <v>214</v>
      </c>
      <c r="G187" t="s">
        <v>27</v>
      </c>
      <c r="H187" s="1" t="s">
        <v>28</v>
      </c>
      <c r="I187" t="s">
        <v>52</v>
      </c>
      <c r="J187">
        <v>890</v>
      </c>
      <c r="K187">
        <v>13.44</v>
      </c>
      <c r="L187">
        <v>11959.9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30</v>
      </c>
      <c r="S187" t="s">
        <v>31</v>
      </c>
    </row>
    <row r="188" spans="1:19" x14ac:dyDescent="0.3">
      <c r="A188">
        <v>5199</v>
      </c>
      <c r="B188" t="s">
        <v>39</v>
      </c>
      <c r="C188" t="s">
        <v>23</v>
      </c>
      <c r="D188" t="s">
        <v>69</v>
      </c>
      <c r="E188" t="s">
        <v>233</v>
      </c>
      <c r="F188" t="s">
        <v>214</v>
      </c>
      <c r="G188" t="s">
        <v>27</v>
      </c>
      <c r="H188" s="1" t="s">
        <v>28</v>
      </c>
      <c r="I188" t="s">
        <v>52</v>
      </c>
      <c r="J188">
        <v>1136</v>
      </c>
      <c r="K188">
        <v>10.33</v>
      </c>
      <c r="L188">
        <v>11738.67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30</v>
      </c>
      <c r="S188" t="s">
        <v>31</v>
      </c>
    </row>
    <row r="189" spans="1:19" x14ac:dyDescent="0.3">
      <c r="A189">
        <v>5200</v>
      </c>
      <c r="B189" t="s">
        <v>39</v>
      </c>
      <c r="C189" t="s">
        <v>23</v>
      </c>
      <c r="D189" t="s">
        <v>47</v>
      </c>
      <c r="E189" t="s">
        <v>234</v>
      </c>
      <c r="F189" t="s">
        <v>214</v>
      </c>
      <c r="G189" t="s">
        <v>27</v>
      </c>
      <c r="H189" s="1" t="s">
        <v>28</v>
      </c>
      <c r="I189" t="s">
        <v>35</v>
      </c>
      <c r="J189">
        <v>1</v>
      </c>
      <c r="K189">
        <v>9523.81</v>
      </c>
      <c r="L189">
        <v>9523.81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30</v>
      </c>
      <c r="S189" t="s">
        <v>31</v>
      </c>
    </row>
    <row r="190" spans="1:19" x14ac:dyDescent="0.3">
      <c r="A190">
        <v>5201</v>
      </c>
      <c r="B190" t="s">
        <v>39</v>
      </c>
      <c r="C190" t="s">
        <v>23</v>
      </c>
      <c r="D190" t="s">
        <v>129</v>
      </c>
      <c r="E190" t="s">
        <v>235</v>
      </c>
      <c r="F190" t="s">
        <v>214</v>
      </c>
      <c r="G190" t="s">
        <v>27</v>
      </c>
      <c r="H190" s="1" t="s">
        <v>28</v>
      </c>
      <c r="I190" t="s">
        <v>29</v>
      </c>
      <c r="J190">
        <v>1</v>
      </c>
      <c r="K190">
        <v>8538.33</v>
      </c>
      <c r="L190">
        <v>8538.33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30</v>
      </c>
      <c r="S190" t="s">
        <v>31</v>
      </c>
    </row>
    <row r="191" spans="1:19" x14ac:dyDescent="0.3">
      <c r="A191">
        <v>5202</v>
      </c>
      <c r="B191" t="s">
        <v>39</v>
      </c>
      <c r="C191" t="s">
        <v>23</v>
      </c>
      <c r="D191" t="s">
        <v>69</v>
      </c>
      <c r="E191" t="s">
        <v>236</v>
      </c>
      <c r="F191" t="s">
        <v>214</v>
      </c>
      <c r="G191" t="s">
        <v>27</v>
      </c>
      <c r="H191" s="1" t="s">
        <v>28</v>
      </c>
      <c r="I191" t="s">
        <v>52</v>
      </c>
      <c r="J191">
        <v>1136</v>
      </c>
      <c r="K191">
        <v>7.27</v>
      </c>
      <c r="L191">
        <v>8254.93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30</v>
      </c>
      <c r="S191" t="s">
        <v>31</v>
      </c>
    </row>
    <row r="192" spans="1:19" x14ac:dyDescent="0.3">
      <c r="A192">
        <v>5203</v>
      </c>
      <c r="B192" t="s">
        <v>39</v>
      </c>
      <c r="C192" t="s">
        <v>23</v>
      </c>
      <c r="D192" t="s">
        <v>69</v>
      </c>
      <c r="E192" t="s">
        <v>237</v>
      </c>
      <c r="F192" t="s">
        <v>214</v>
      </c>
      <c r="G192" t="s">
        <v>27</v>
      </c>
      <c r="H192" s="1" t="s">
        <v>28</v>
      </c>
      <c r="I192" t="s">
        <v>52</v>
      </c>
      <c r="J192">
        <v>213</v>
      </c>
      <c r="K192">
        <v>37.71</v>
      </c>
      <c r="L192">
        <v>8033.14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</v>
      </c>
      <c r="S192" t="s">
        <v>31</v>
      </c>
    </row>
    <row r="193" spans="1:19" x14ac:dyDescent="0.3">
      <c r="A193">
        <v>5204</v>
      </c>
      <c r="B193" t="s">
        <v>36</v>
      </c>
      <c r="C193" t="s">
        <v>23</v>
      </c>
      <c r="D193" t="s">
        <v>36</v>
      </c>
      <c r="E193" t="s">
        <v>238</v>
      </c>
      <c r="F193" t="s">
        <v>214</v>
      </c>
      <c r="G193" t="s">
        <v>27</v>
      </c>
      <c r="H193" s="1" t="s">
        <v>28</v>
      </c>
      <c r="I193" t="s">
        <v>35</v>
      </c>
      <c r="J193">
        <v>10</v>
      </c>
      <c r="K193">
        <v>666.67</v>
      </c>
      <c r="L193">
        <v>6666.67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30</v>
      </c>
      <c r="S193" t="s">
        <v>31</v>
      </c>
    </row>
    <row r="194" spans="1:19" x14ac:dyDescent="0.3">
      <c r="A194">
        <v>5205</v>
      </c>
      <c r="B194" t="s">
        <v>32</v>
      </c>
      <c r="C194" t="s">
        <v>23</v>
      </c>
      <c r="D194" t="s">
        <v>222</v>
      </c>
      <c r="E194" t="s">
        <v>239</v>
      </c>
      <c r="F194" t="s">
        <v>214</v>
      </c>
      <c r="G194" t="s">
        <v>27</v>
      </c>
      <c r="H194" s="1" t="s">
        <v>28</v>
      </c>
      <c r="I194" t="s">
        <v>74</v>
      </c>
      <c r="J194">
        <v>36</v>
      </c>
      <c r="K194">
        <v>180.95</v>
      </c>
      <c r="L194">
        <v>6514.29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30</v>
      </c>
      <c r="S194" t="s">
        <v>31</v>
      </c>
    </row>
    <row r="195" spans="1:19" x14ac:dyDescent="0.3">
      <c r="A195">
        <v>5206</v>
      </c>
      <c r="B195" t="s">
        <v>39</v>
      </c>
      <c r="C195" t="s">
        <v>23</v>
      </c>
      <c r="D195" t="s">
        <v>129</v>
      </c>
      <c r="E195" t="s">
        <v>174</v>
      </c>
      <c r="F195" t="s">
        <v>214</v>
      </c>
      <c r="G195" t="s">
        <v>27</v>
      </c>
      <c r="H195" s="1" t="s">
        <v>28</v>
      </c>
      <c r="I195" t="s">
        <v>74</v>
      </c>
      <c r="J195">
        <v>106</v>
      </c>
      <c r="K195">
        <v>57.77</v>
      </c>
      <c r="L195">
        <v>6123.77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</v>
      </c>
      <c r="S195" t="s">
        <v>31</v>
      </c>
    </row>
    <row r="196" spans="1:19" x14ac:dyDescent="0.3">
      <c r="A196">
        <v>5207</v>
      </c>
      <c r="B196" t="s">
        <v>39</v>
      </c>
      <c r="C196" t="s">
        <v>23</v>
      </c>
      <c r="D196" t="s">
        <v>98</v>
      </c>
      <c r="E196" t="s">
        <v>240</v>
      </c>
      <c r="F196" t="s">
        <v>214</v>
      </c>
      <c r="G196" t="s">
        <v>27</v>
      </c>
      <c r="H196" s="1" t="s">
        <v>28</v>
      </c>
      <c r="I196" t="s">
        <v>29</v>
      </c>
      <c r="J196">
        <v>1</v>
      </c>
      <c r="K196">
        <v>5615.58</v>
      </c>
      <c r="L196">
        <v>5615.58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30</v>
      </c>
      <c r="S196" t="s">
        <v>31</v>
      </c>
    </row>
    <row r="197" spans="1:19" x14ac:dyDescent="0.3">
      <c r="A197">
        <v>5208</v>
      </c>
      <c r="B197" t="s">
        <v>36</v>
      </c>
      <c r="C197" t="s">
        <v>23</v>
      </c>
      <c r="D197" t="s">
        <v>36</v>
      </c>
      <c r="E197" t="s">
        <v>241</v>
      </c>
      <c r="F197" t="s">
        <v>214</v>
      </c>
      <c r="G197" t="s">
        <v>27</v>
      </c>
      <c r="H197" s="1" t="s">
        <v>28</v>
      </c>
      <c r="I197" t="s">
        <v>35</v>
      </c>
      <c r="J197">
        <v>1</v>
      </c>
      <c r="K197">
        <v>4761.8999999999996</v>
      </c>
      <c r="L197">
        <v>4761.8999999999996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30</v>
      </c>
      <c r="S197" t="s">
        <v>31</v>
      </c>
    </row>
    <row r="198" spans="1:19" x14ac:dyDescent="0.3">
      <c r="A198">
        <v>5209</v>
      </c>
      <c r="B198" t="s">
        <v>39</v>
      </c>
      <c r="C198" t="s">
        <v>23</v>
      </c>
      <c r="D198" t="s">
        <v>98</v>
      </c>
      <c r="E198" t="s">
        <v>242</v>
      </c>
      <c r="F198" t="s">
        <v>214</v>
      </c>
      <c r="G198" t="s">
        <v>27</v>
      </c>
      <c r="H198" s="1" t="s">
        <v>28</v>
      </c>
      <c r="I198" t="s">
        <v>121</v>
      </c>
      <c r="J198">
        <v>388.8</v>
      </c>
      <c r="K198">
        <v>7.69</v>
      </c>
      <c r="L198">
        <v>2988.21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30</v>
      </c>
      <c r="S198" t="s">
        <v>31</v>
      </c>
    </row>
    <row r="199" spans="1:19" x14ac:dyDescent="0.3">
      <c r="A199">
        <v>5210</v>
      </c>
      <c r="B199" t="s">
        <v>39</v>
      </c>
      <c r="C199" t="s">
        <v>23</v>
      </c>
      <c r="D199" t="s">
        <v>98</v>
      </c>
      <c r="E199" t="s">
        <v>243</v>
      </c>
      <c r="F199" t="s">
        <v>214</v>
      </c>
      <c r="G199" t="s">
        <v>27</v>
      </c>
      <c r="H199" s="1" t="s">
        <v>28</v>
      </c>
      <c r="I199" t="s">
        <v>121</v>
      </c>
      <c r="J199">
        <v>505.44</v>
      </c>
      <c r="K199">
        <v>5.74</v>
      </c>
      <c r="L199">
        <v>2902.67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30</v>
      </c>
      <c r="S199" t="s">
        <v>31</v>
      </c>
    </row>
    <row r="200" spans="1:19" x14ac:dyDescent="0.3">
      <c r="A200">
        <v>5211</v>
      </c>
      <c r="B200" t="s">
        <v>39</v>
      </c>
      <c r="C200" t="s">
        <v>23</v>
      </c>
      <c r="D200" t="s">
        <v>98</v>
      </c>
      <c r="E200" t="s">
        <v>244</v>
      </c>
      <c r="F200" t="s">
        <v>214</v>
      </c>
      <c r="G200" t="s">
        <v>27</v>
      </c>
      <c r="H200" s="1" t="s">
        <v>28</v>
      </c>
      <c r="I200" t="s">
        <v>52</v>
      </c>
      <c r="J200">
        <v>568</v>
      </c>
      <c r="K200">
        <v>5</v>
      </c>
      <c r="L200">
        <v>2840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30</v>
      </c>
      <c r="S200" t="s">
        <v>31</v>
      </c>
    </row>
    <row r="201" spans="1:19" x14ac:dyDescent="0.3">
      <c r="A201">
        <v>5212</v>
      </c>
      <c r="B201" t="s">
        <v>39</v>
      </c>
      <c r="C201" t="s">
        <v>23</v>
      </c>
      <c r="D201" t="s">
        <v>129</v>
      </c>
      <c r="E201" t="s">
        <v>199</v>
      </c>
      <c r="F201" t="s">
        <v>214</v>
      </c>
      <c r="G201" t="s">
        <v>27</v>
      </c>
      <c r="H201" s="1" t="s">
        <v>28</v>
      </c>
      <c r="I201" t="s">
        <v>74</v>
      </c>
      <c r="J201">
        <v>56</v>
      </c>
      <c r="K201">
        <v>34.31</v>
      </c>
      <c r="L201">
        <v>1921.6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30</v>
      </c>
      <c r="S201" t="s">
        <v>31</v>
      </c>
    </row>
    <row r="202" spans="1:19" x14ac:dyDescent="0.3">
      <c r="A202">
        <v>5213</v>
      </c>
      <c r="B202" t="s">
        <v>36</v>
      </c>
      <c r="C202" t="s">
        <v>23</v>
      </c>
      <c r="D202" t="s">
        <v>36</v>
      </c>
      <c r="E202" t="s">
        <v>100</v>
      </c>
      <c r="F202" t="s">
        <v>214</v>
      </c>
      <c r="G202" t="s">
        <v>27</v>
      </c>
      <c r="H202" s="1" t="s">
        <v>28</v>
      </c>
      <c r="I202" t="s">
        <v>35</v>
      </c>
      <c r="J202">
        <v>1</v>
      </c>
      <c r="K202">
        <v>904.76</v>
      </c>
      <c r="L202">
        <v>904.76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30</v>
      </c>
      <c r="S202" t="s">
        <v>31</v>
      </c>
    </row>
    <row r="203" spans="1:19" x14ac:dyDescent="0.3">
      <c r="A203">
        <v>5214</v>
      </c>
      <c r="B203" t="s">
        <v>36</v>
      </c>
      <c r="C203" t="s">
        <v>23</v>
      </c>
      <c r="D203" t="s">
        <v>36</v>
      </c>
      <c r="E203" t="s">
        <v>107</v>
      </c>
      <c r="F203" t="s">
        <v>214</v>
      </c>
      <c r="G203" t="s">
        <v>27</v>
      </c>
      <c r="H203" s="1" t="s">
        <v>28</v>
      </c>
      <c r="I203" t="s">
        <v>35</v>
      </c>
      <c r="J203">
        <v>1</v>
      </c>
      <c r="K203">
        <v>333.33</v>
      </c>
      <c r="L203">
        <v>333.33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30</v>
      </c>
      <c r="S203" t="s">
        <v>31</v>
      </c>
    </row>
    <row r="204" spans="1:19" x14ac:dyDescent="0.3">
      <c r="A204">
        <v>5215</v>
      </c>
      <c r="B204" t="s">
        <v>245</v>
      </c>
      <c r="C204" t="s">
        <v>23</v>
      </c>
      <c r="D204" t="s">
        <v>246</v>
      </c>
      <c r="E204" t="s">
        <v>247</v>
      </c>
      <c r="F204" t="s">
        <v>214</v>
      </c>
      <c r="G204" t="s">
        <v>27</v>
      </c>
      <c r="H204" s="1" t="s">
        <v>28</v>
      </c>
      <c r="I204" t="s">
        <v>35</v>
      </c>
      <c r="J204">
        <v>1</v>
      </c>
      <c r="K204">
        <v>5000</v>
      </c>
      <c r="L204">
        <v>5000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30</v>
      </c>
      <c r="S204" t="s">
        <v>31</v>
      </c>
    </row>
    <row r="205" spans="1:19" x14ac:dyDescent="0.3">
      <c r="A205">
        <v>5216</v>
      </c>
      <c r="B205" t="s">
        <v>219</v>
      </c>
      <c r="C205" t="s">
        <v>23</v>
      </c>
      <c r="D205" t="s">
        <v>217</v>
      </c>
      <c r="E205" t="s">
        <v>248</v>
      </c>
      <c r="F205" t="s">
        <v>214</v>
      </c>
      <c r="G205" t="s">
        <v>27</v>
      </c>
      <c r="H205" s="1" t="s">
        <v>28</v>
      </c>
      <c r="I205" t="s">
        <v>35</v>
      </c>
      <c r="J205">
        <v>1</v>
      </c>
      <c r="K205">
        <v>12000</v>
      </c>
      <c r="L205">
        <v>12000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</v>
      </c>
      <c r="S205" t="s">
        <v>31</v>
      </c>
    </row>
    <row r="206" spans="1:19" x14ac:dyDescent="0.3">
      <c r="A206">
        <v>5217</v>
      </c>
      <c r="B206" t="s">
        <v>22</v>
      </c>
      <c r="C206" t="s">
        <v>23</v>
      </c>
      <c r="D206" t="s">
        <v>24</v>
      </c>
      <c r="E206" t="s">
        <v>249</v>
      </c>
      <c r="F206" t="s">
        <v>214</v>
      </c>
      <c r="G206" t="s">
        <v>27</v>
      </c>
      <c r="H206" s="1" t="s">
        <v>28</v>
      </c>
      <c r="I206" t="s">
        <v>35</v>
      </c>
      <c r="J206">
        <v>2</v>
      </c>
      <c r="K206">
        <v>2500</v>
      </c>
      <c r="L206">
        <v>5000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30</v>
      </c>
      <c r="S206" t="s">
        <v>31</v>
      </c>
    </row>
    <row r="207" spans="1:19" x14ac:dyDescent="0.3">
      <c r="A207">
        <v>5218</v>
      </c>
      <c r="B207" t="s">
        <v>39</v>
      </c>
      <c r="C207" t="s">
        <v>23</v>
      </c>
      <c r="D207" t="s">
        <v>212</v>
      </c>
      <c r="E207" t="s">
        <v>110</v>
      </c>
      <c r="F207" t="s">
        <v>250</v>
      </c>
      <c r="G207" t="s">
        <v>27</v>
      </c>
      <c r="H207" s="1" t="s">
        <v>28</v>
      </c>
      <c r="I207" t="s">
        <v>112</v>
      </c>
      <c r="J207">
        <v>79359.03</v>
      </c>
      <c r="K207">
        <v>3.33</v>
      </c>
      <c r="L207">
        <v>264530.09999999998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</v>
      </c>
      <c r="S207" t="s">
        <v>31</v>
      </c>
    </row>
    <row r="208" spans="1:19" x14ac:dyDescent="0.3">
      <c r="A208">
        <v>5219</v>
      </c>
      <c r="B208" t="s">
        <v>219</v>
      </c>
      <c r="C208" t="s">
        <v>23</v>
      </c>
      <c r="D208" t="s">
        <v>251</v>
      </c>
      <c r="E208" t="s">
        <v>252</v>
      </c>
      <c r="F208" t="s">
        <v>250</v>
      </c>
      <c r="G208" t="s">
        <v>27</v>
      </c>
      <c r="H208" s="1" t="s">
        <v>28</v>
      </c>
      <c r="I208" t="s">
        <v>35</v>
      </c>
      <c r="J208">
        <v>2</v>
      </c>
      <c r="K208">
        <v>60000</v>
      </c>
      <c r="L208">
        <v>120000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30</v>
      </c>
      <c r="S208" t="s">
        <v>31</v>
      </c>
    </row>
    <row r="209" spans="1:19" x14ac:dyDescent="0.3">
      <c r="A209">
        <v>5220</v>
      </c>
      <c r="B209" t="s">
        <v>32</v>
      </c>
      <c r="C209" t="s">
        <v>23</v>
      </c>
      <c r="D209" t="s">
        <v>215</v>
      </c>
      <c r="E209" t="s">
        <v>253</v>
      </c>
      <c r="F209" t="s">
        <v>250</v>
      </c>
      <c r="G209" t="s">
        <v>27</v>
      </c>
      <c r="H209" s="1" t="s">
        <v>28</v>
      </c>
      <c r="I209" t="s">
        <v>35</v>
      </c>
      <c r="J209">
        <v>2</v>
      </c>
      <c r="K209">
        <v>35000</v>
      </c>
      <c r="L209">
        <v>70000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30</v>
      </c>
      <c r="S209" t="s">
        <v>31</v>
      </c>
    </row>
    <row r="210" spans="1:19" x14ac:dyDescent="0.3">
      <c r="A210">
        <v>5221</v>
      </c>
      <c r="B210" t="s">
        <v>39</v>
      </c>
      <c r="C210" t="s">
        <v>23</v>
      </c>
      <c r="D210" t="s">
        <v>212</v>
      </c>
      <c r="E210" t="s">
        <v>254</v>
      </c>
      <c r="F210" t="s">
        <v>250</v>
      </c>
      <c r="G210" t="s">
        <v>27</v>
      </c>
      <c r="H210" s="1" t="s">
        <v>28</v>
      </c>
      <c r="I210" t="s">
        <v>121</v>
      </c>
      <c r="J210">
        <v>194.34</v>
      </c>
      <c r="K210">
        <v>268.57</v>
      </c>
      <c r="L210">
        <v>52194.17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30</v>
      </c>
      <c r="S210" t="s">
        <v>31</v>
      </c>
    </row>
    <row r="211" spans="1:19" x14ac:dyDescent="0.3">
      <c r="A211">
        <v>5222</v>
      </c>
      <c r="B211" t="s">
        <v>32</v>
      </c>
      <c r="C211" t="s">
        <v>23</v>
      </c>
      <c r="D211" t="s">
        <v>222</v>
      </c>
      <c r="E211" t="s">
        <v>223</v>
      </c>
      <c r="F211" t="s">
        <v>250</v>
      </c>
      <c r="G211" t="s">
        <v>27</v>
      </c>
      <c r="H211" s="1" t="s">
        <v>28</v>
      </c>
      <c r="I211" t="s">
        <v>29</v>
      </c>
      <c r="J211">
        <v>1</v>
      </c>
      <c r="K211">
        <v>39047.620000000003</v>
      </c>
      <c r="L211">
        <v>39047.620000000003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30</v>
      </c>
      <c r="S211" t="s">
        <v>31</v>
      </c>
    </row>
    <row r="212" spans="1:19" x14ac:dyDescent="0.3">
      <c r="A212">
        <v>5223</v>
      </c>
      <c r="B212" t="s">
        <v>39</v>
      </c>
      <c r="C212" t="s">
        <v>23</v>
      </c>
      <c r="D212" t="s">
        <v>212</v>
      </c>
      <c r="E212" t="s">
        <v>255</v>
      </c>
      <c r="F212" t="s">
        <v>250</v>
      </c>
      <c r="G212" t="s">
        <v>27</v>
      </c>
      <c r="H212" s="1" t="s">
        <v>28</v>
      </c>
      <c r="I212" t="s">
        <v>112</v>
      </c>
      <c r="J212">
        <v>11077.61</v>
      </c>
      <c r="K212">
        <v>3.33</v>
      </c>
      <c r="L212">
        <v>36925.370000000003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</v>
      </c>
      <c r="S212" t="s">
        <v>31</v>
      </c>
    </row>
    <row r="213" spans="1:19" x14ac:dyDescent="0.3">
      <c r="A213">
        <v>5224</v>
      </c>
      <c r="B213" t="s">
        <v>32</v>
      </c>
      <c r="C213" t="s">
        <v>23</v>
      </c>
      <c r="D213" t="s">
        <v>215</v>
      </c>
      <c r="E213" t="s">
        <v>256</v>
      </c>
      <c r="F213" t="s">
        <v>250</v>
      </c>
      <c r="G213" t="s">
        <v>27</v>
      </c>
      <c r="H213" s="1" t="s">
        <v>28</v>
      </c>
      <c r="I213" t="s">
        <v>35</v>
      </c>
      <c r="J213">
        <v>1</v>
      </c>
      <c r="K213">
        <v>30000</v>
      </c>
      <c r="L213">
        <v>30000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30</v>
      </c>
      <c r="S213" t="s">
        <v>31</v>
      </c>
    </row>
    <row r="214" spans="1:19" x14ac:dyDescent="0.3">
      <c r="A214">
        <v>5225</v>
      </c>
      <c r="B214" t="s">
        <v>32</v>
      </c>
      <c r="C214" t="s">
        <v>23</v>
      </c>
      <c r="D214" t="s">
        <v>215</v>
      </c>
      <c r="E214" t="s">
        <v>257</v>
      </c>
      <c r="F214" t="s">
        <v>250</v>
      </c>
      <c r="G214" t="s">
        <v>27</v>
      </c>
      <c r="H214" s="1" t="s">
        <v>28</v>
      </c>
      <c r="I214" t="s">
        <v>29</v>
      </c>
      <c r="J214">
        <v>1</v>
      </c>
      <c r="K214">
        <v>30000</v>
      </c>
      <c r="L214">
        <v>30000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30</v>
      </c>
      <c r="S214" t="s">
        <v>31</v>
      </c>
    </row>
    <row r="215" spans="1:19" x14ac:dyDescent="0.3">
      <c r="A215">
        <v>5226</v>
      </c>
      <c r="B215" t="s">
        <v>22</v>
      </c>
      <c r="C215" t="s">
        <v>23</v>
      </c>
      <c r="D215" t="s">
        <v>24</v>
      </c>
      <c r="E215" t="s">
        <v>25</v>
      </c>
      <c r="F215" t="s">
        <v>250</v>
      </c>
      <c r="G215" t="s">
        <v>27</v>
      </c>
      <c r="H215" s="1" t="s">
        <v>28</v>
      </c>
      <c r="I215" t="s">
        <v>29</v>
      </c>
      <c r="J215">
        <v>1</v>
      </c>
      <c r="K215">
        <v>25000</v>
      </c>
      <c r="L215">
        <v>25000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30</v>
      </c>
      <c r="S215" t="s">
        <v>31</v>
      </c>
    </row>
    <row r="216" spans="1:19" x14ac:dyDescent="0.3">
      <c r="A216">
        <v>5227</v>
      </c>
      <c r="B216" t="s">
        <v>219</v>
      </c>
      <c r="C216" t="s">
        <v>23</v>
      </c>
      <c r="D216" t="s">
        <v>251</v>
      </c>
      <c r="E216" t="s">
        <v>258</v>
      </c>
      <c r="F216" t="s">
        <v>250</v>
      </c>
      <c r="G216" t="s">
        <v>27</v>
      </c>
      <c r="H216" s="1" t="s">
        <v>28</v>
      </c>
      <c r="I216" t="s">
        <v>35</v>
      </c>
      <c r="J216">
        <v>2</v>
      </c>
      <c r="K216">
        <v>12000</v>
      </c>
      <c r="L216">
        <v>24000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30</v>
      </c>
      <c r="S216" t="s">
        <v>31</v>
      </c>
    </row>
    <row r="217" spans="1:19" x14ac:dyDescent="0.3">
      <c r="A217">
        <v>5228</v>
      </c>
      <c r="B217" t="s">
        <v>219</v>
      </c>
      <c r="C217" t="s">
        <v>23</v>
      </c>
      <c r="D217" t="s">
        <v>259</v>
      </c>
      <c r="E217" t="s">
        <v>260</v>
      </c>
      <c r="F217" t="s">
        <v>250</v>
      </c>
      <c r="G217" t="s">
        <v>27</v>
      </c>
      <c r="H217" s="1" t="s">
        <v>28</v>
      </c>
      <c r="I217" t="s">
        <v>35</v>
      </c>
      <c r="J217">
        <v>2</v>
      </c>
      <c r="K217">
        <v>12000</v>
      </c>
      <c r="L217">
        <v>24000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30</v>
      </c>
      <c r="S217" t="s">
        <v>31</v>
      </c>
    </row>
    <row r="218" spans="1:19" x14ac:dyDescent="0.3">
      <c r="A218">
        <v>5229</v>
      </c>
      <c r="B218" t="s">
        <v>32</v>
      </c>
      <c r="C218" t="s">
        <v>23</v>
      </c>
      <c r="D218" t="s">
        <v>215</v>
      </c>
      <c r="E218" t="s">
        <v>261</v>
      </c>
      <c r="F218" t="s">
        <v>250</v>
      </c>
      <c r="G218" t="s">
        <v>27</v>
      </c>
      <c r="H218" s="1" t="s">
        <v>28</v>
      </c>
      <c r="I218" t="s">
        <v>35</v>
      </c>
      <c r="J218">
        <v>2</v>
      </c>
      <c r="K218">
        <v>12000</v>
      </c>
      <c r="L218">
        <v>24000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30</v>
      </c>
      <c r="S218" t="s">
        <v>31</v>
      </c>
    </row>
    <row r="219" spans="1:19" x14ac:dyDescent="0.3">
      <c r="A219">
        <v>5230</v>
      </c>
      <c r="B219" t="s">
        <v>219</v>
      </c>
      <c r="C219" t="s">
        <v>23</v>
      </c>
      <c r="D219" t="s">
        <v>220</v>
      </c>
      <c r="E219" t="s">
        <v>262</v>
      </c>
      <c r="F219" t="s">
        <v>250</v>
      </c>
      <c r="G219" t="s">
        <v>27</v>
      </c>
      <c r="H219" s="1" t="s">
        <v>28</v>
      </c>
      <c r="I219" t="s">
        <v>29</v>
      </c>
      <c r="J219">
        <v>1</v>
      </c>
      <c r="K219">
        <v>23523.81</v>
      </c>
      <c r="L219">
        <v>23523.81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30</v>
      </c>
      <c r="S219" t="s">
        <v>31</v>
      </c>
    </row>
    <row r="220" spans="1:19" x14ac:dyDescent="0.3">
      <c r="A220">
        <v>5231</v>
      </c>
      <c r="B220" t="s">
        <v>39</v>
      </c>
      <c r="C220" t="s">
        <v>23</v>
      </c>
      <c r="D220" t="s">
        <v>212</v>
      </c>
      <c r="E220" t="s">
        <v>263</v>
      </c>
      <c r="F220" t="s">
        <v>250</v>
      </c>
      <c r="G220" t="s">
        <v>27</v>
      </c>
      <c r="H220" s="1" t="s">
        <v>28</v>
      </c>
      <c r="I220" t="s">
        <v>121</v>
      </c>
      <c r="J220">
        <v>78.61</v>
      </c>
      <c r="K220">
        <v>268.57</v>
      </c>
      <c r="L220">
        <v>21113.58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30</v>
      </c>
      <c r="S220" t="s">
        <v>31</v>
      </c>
    </row>
    <row r="221" spans="1:19" x14ac:dyDescent="0.3">
      <c r="A221">
        <v>5232</v>
      </c>
      <c r="B221" t="s">
        <v>32</v>
      </c>
      <c r="C221" t="s">
        <v>23</v>
      </c>
      <c r="D221" t="s">
        <v>215</v>
      </c>
      <c r="E221" t="s">
        <v>264</v>
      </c>
      <c r="F221" t="s">
        <v>250</v>
      </c>
      <c r="G221" t="s">
        <v>27</v>
      </c>
      <c r="H221" s="1" t="s">
        <v>28</v>
      </c>
      <c r="I221" t="s">
        <v>35</v>
      </c>
      <c r="J221">
        <v>2</v>
      </c>
      <c r="K221">
        <v>10000</v>
      </c>
      <c r="L221">
        <v>20000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30</v>
      </c>
      <c r="S221" t="s">
        <v>31</v>
      </c>
    </row>
    <row r="222" spans="1:19" x14ac:dyDescent="0.3">
      <c r="A222">
        <v>5233</v>
      </c>
      <c r="B222" t="s">
        <v>39</v>
      </c>
      <c r="C222" t="s">
        <v>23</v>
      </c>
      <c r="D222" t="s">
        <v>212</v>
      </c>
      <c r="E222" t="s">
        <v>150</v>
      </c>
      <c r="F222" t="s">
        <v>250</v>
      </c>
      <c r="G222" t="s">
        <v>27</v>
      </c>
      <c r="H222" s="1" t="s">
        <v>28</v>
      </c>
      <c r="I222" t="s">
        <v>112</v>
      </c>
      <c r="J222">
        <v>7247.56</v>
      </c>
      <c r="K222">
        <v>2.29</v>
      </c>
      <c r="L222">
        <v>16565.849999999999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</v>
      </c>
      <c r="S222" t="s">
        <v>31</v>
      </c>
    </row>
    <row r="223" spans="1:19" x14ac:dyDescent="0.3">
      <c r="A223">
        <v>5234</v>
      </c>
      <c r="B223" t="s">
        <v>39</v>
      </c>
      <c r="C223" t="s">
        <v>23</v>
      </c>
      <c r="D223" t="s">
        <v>129</v>
      </c>
      <c r="E223" t="s">
        <v>130</v>
      </c>
      <c r="F223" t="s">
        <v>250</v>
      </c>
      <c r="G223" t="s">
        <v>27</v>
      </c>
      <c r="H223" s="1" t="s">
        <v>28</v>
      </c>
      <c r="I223" t="s">
        <v>52</v>
      </c>
      <c r="J223">
        <v>1273.8599999999999</v>
      </c>
      <c r="K223">
        <v>11.48</v>
      </c>
      <c r="L223">
        <v>14619.06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30</v>
      </c>
      <c r="S223" t="s">
        <v>31</v>
      </c>
    </row>
    <row r="224" spans="1:19" x14ac:dyDescent="0.3">
      <c r="A224">
        <v>5235</v>
      </c>
      <c r="B224" t="s">
        <v>39</v>
      </c>
      <c r="C224" t="s">
        <v>23</v>
      </c>
      <c r="D224" t="s">
        <v>129</v>
      </c>
      <c r="E224" t="s">
        <v>265</v>
      </c>
      <c r="F224" t="s">
        <v>250</v>
      </c>
      <c r="G224" t="s">
        <v>27</v>
      </c>
      <c r="H224" s="1" t="s">
        <v>28</v>
      </c>
      <c r="I224" t="s">
        <v>52</v>
      </c>
      <c r="J224">
        <v>636.92999999999995</v>
      </c>
      <c r="K224">
        <v>19.45</v>
      </c>
      <c r="L224">
        <v>12386.77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30</v>
      </c>
      <c r="S224" t="s">
        <v>31</v>
      </c>
    </row>
    <row r="225" spans="1:19" x14ac:dyDescent="0.3">
      <c r="A225">
        <v>5236</v>
      </c>
      <c r="B225" t="s">
        <v>39</v>
      </c>
      <c r="C225" t="s">
        <v>23</v>
      </c>
      <c r="D225" t="s">
        <v>212</v>
      </c>
      <c r="E225" t="s">
        <v>266</v>
      </c>
      <c r="F225" t="s">
        <v>250</v>
      </c>
      <c r="G225" t="s">
        <v>27</v>
      </c>
      <c r="H225" s="1" t="s">
        <v>28</v>
      </c>
      <c r="I225" t="s">
        <v>52</v>
      </c>
      <c r="J225">
        <v>655.12</v>
      </c>
      <c r="K225">
        <v>17.98</v>
      </c>
      <c r="L225">
        <v>11779.68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</v>
      </c>
      <c r="S225" t="s">
        <v>31</v>
      </c>
    </row>
    <row r="226" spans="1:19" x14ac:dyDescent="0.3">
      <c r="A226">
        <v>5237</v>
      </c>
      <c r="B226" t="s">
        <v>42</v>
      </c>
      <c r="C226" t="s">
        <v>23</v>
      </c>
      <c r="D226" t="s">
        <v>43</v>
      </c>
      <c r="E226" t="s">
        <v>114</v>
      </c>
      <c r="F226" t="s">
        <v>250</v>
      </c>
      <c r="G226" t="s">
        <v>27</v>
      </c>
      <c r="H226" s="1" t="s">
        <v>28</v>
      </c>
      <c r="I226" t="s">
        <v>29</v>
      </c>
      <c r="J226">
        <v>1</v>
      </c>
      <c r="K226">
        <v>11656.19</v>
      </c>
      <c r="L226">
        <v>11656.19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30</v>
      </c>
      <c r="S226" t="s">
        <v>31</v>
      </c>
    </row>
    <row r="227" spans="1:19" x14ac:dyDescent="0.3">
      <c r="A227">
        <v>5238</v>
      </c>
      <c r="B227" t="s">
        <v>39</v>
      </c>
      <c r="C227" t="s">
        <v>23</v>
      </c>
      <c r="D227" t="s">
        <v>212</v>
      </c>
      <c r="E227" t="s">
        <v>267</v>
      </c>
      <c r="F227" t="s">
        <v>250</v>
      </c>
      <c r="G227" t="s">
        <v>27</v>
      </c>
      <c r="H227" s="1" t="s">
        <v>28</v>
      </c>
      <c r="I227" t="s">
        <v>121</v>
      </c>
      <c r="J227">
        <v>520.95000000000005</v>
      </c>
      <c r="K227">
        <v>20.97</v>
      </c>
      <c r="L227">
        <v>10925.07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30</v>
      </c>
      <c r="S227" t="s">
        <v>31</v>
      </c>
    </row>
    <row r="228" spans="1:19" x14ac:dyDescent="0.3">
      <c r="A228">
        <v>5239</v>
      </c>
      <c r="B228" t="s">
        <v>39</v>
      </c>
      <c r="C228" t="s">
        <v>23</v>
      </c>
      <c r="D228" t="s">
        <v>251</v>
      </c>
      <c r="E228" t="s">
        <v>268</v>
      </c>
      <c r="F228" t="s">
        <v>250</v>
      </c>
      <c r="G228" t="s">
        <v>27</v>
      </c>
      <c r="H228" s="1" t="s">
        <v>28</v>
      </c>
      <c r="I228" t="s">
        <v>29</v>
      </c>
      <c r="J228">
        <v>1</v>
      </c>
      <c r="K228">
        <v>10000</v>
      </c>
      <c r="L228">
        <v>10000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30</v>
      </c>
      <c r="S228" t="s">
        <v>31</v>
      </c>
    </row>
    <row r="229" spans="1:19" x14ac:dyDescent="0.3">
      <c r="A229">
        <v>5240</v>
      </c>
      <c r="B229" t="s">
        <v>39</v>
      </c>
      <c r="C229" t="s">
        <v>23</v>
      </c>
      <c r="D229" t="s">
        <v>47</v>
      </c>
      <c r="E229" t="s">
        <v>269</v>
      </c>
      <c r="F229" t="s">
        <v>250</v>
      </c>
      <c r="G229" t="s">
        <v>27</v>
      </c>
      <c r="H229" s="1" t="s">
        <v>28</v>
      </c>
      <c r="I229" t="s">
        <v>35</v>
      </c>
      <c r="J229">
        <v>1</v>
      </c>
      <c r="K229">
        <v>9523.81</v>
      </c>
      <c r="L229">
        <v>9523.81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</v>
      </c>
      <c r="S229" t="s">
        <v>31</v>
      </c>
    </row>
    <row r="230" spans="1:19" x14ac:dyDescent="0.3">
      <c r="A230">
        <v>5241</v>
      </c>
      <c r="B230" t="s">
        <v>32</v>
      </c>
      <c r="C230" t="s">
        <v>23</v>
      </c>
      <c r="D230" t="s">
        <v>222</v>
      </c>
      <c r="E230" t="s">
        <v>239</v>
      </c>
      <c r="F230" t="s">
        <v>250</v>
      </c>
      <c r="G230" t="s">
        <v>27</v>
      </c>
      <c r="H230" s="1" t="s">
        <v>28</v>
      </c>
      <c r="I230" t="s">
        <v>74</v>
      </c>
      <c r="J230">
        <v>50</v>
      </c>
      <c r="K230">
        <v>180.95</v>
      </c>
      <c r="L230">
        <v>9047.6200000000008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30</v>
      </c>
      <c r="S230" t="s">
        <v>31</v>
      </c>
    </row>
    <row r="231" spans="1:19" x14ac:dyDescent="0.3">
      <c r="A231">
        <v>5242</v>
      </c>
      <c r="B231" t="s">
        <v>39</v>
      </c>
      <c r="C231" t="s">
        <v>23</v>
      </c>
      <c r="D231" t="s">
        <v>129</v>
      </c>
      <c r="E231" t="s">
        <v>153</v>
      </c>
      <c r="F231" t="s">
        <v>250</v>
      </c>
      <c r="G231" t="s">
        <v>27</v>
      </c>
      <c r="H231" s="1" t="s">
        <v>28</v>
      </c>
      <c r="I231" t="s">
        <v>52</v>
      </c>
      <c r="J231">
        <v>658.35</v>
      </c>
      <c r="K231">
        <v>13.44</v>
      </c>
      <c r="L231">
        <v>8846.9699999999993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30</v>
      </c>
      <c r="S231" t="s">
        <v>31</v>
      </c>
    </row>
    <row r="232" spans="1:19" x14ac:dyDescent="0.3">
      <c r="A232">
        <v>5243</v>
      </c>
      <c r="B232" t="s">
        <v>39</v>
      </c>
      <c r="C232" t="s">
        <v>23</v>
      </c>
      <c r="D232" t="s">
        <v>212</v>
      </c>
      <c r="E232" t="s">
        <v>270</v>
      </c>
      <c r="F232" t="s">
        <v>250</v>
      </c>
      <c r="G232" t="s">
        <v>27</v>
      </c>
      <c r="H232" s="1" t="s">
        <v>28</v>
      </c>
      <c r="I232" t="s">
        <v>52</v>
      </c>
      <c r="J232">
        <v>655.12</v>
      </c>
      <c r="K232">
        <v>12.11</v>
      </c>
      <c r="L232">
        <v>7936.31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30</v>
      </c>
      <c r="S232" t="s">
        <v>31</v>
      </c>
    </row>
    <row r="233" spans="1:19" x14ac:dyDescent="0.3">
      <c r="A233">
        <v>5244</v>
      </c>
      <c r="B233" t="s">
        <v>39</v>
      </c>
      <c r="C233" t="s">
        <v>23</v>
      </c>
      <c r="D233" t="s">
        <v>129</v>
      </c>
      <c r="E233" t="s">
        <v>271</v>
      </c>
      <c r="F233" t="s">
        <v>250</v>
      </c>
      <c r="G233" t="s">
        <v>27</v>
      </c>
      <c r="H233" s="1" t="s">
        <v>28</v>
      </c>
      <c r="I233" t="s">
        <v>35</v>
      </c>
      <c r="J233">
        <v>2</v>
      </c>
      <c r="K233">
        <v>3921.9</v>
      </c>
      <c r="L233">
        <v>7843.81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30</v>
      </c>
      <c r="S233" t="s">
        <v>31</v>
      </c>
    </row>
    <row r="234" spans="1:19" x14ac:dyDescent="0.3">
      <c r="A234">
        <v>5245</v>
      </c>
      <c r="B234" t="s">
        <v>39</v>
      </c>
      <c r="C234" t="s">
        <v>23</v>
      </c>
      <c r="D234" t="s">
        <v>98</v>
      </c>
      <c r="E234" t="s">
        <v>272</v>
      </c>
      <c r="F234" t="s">
        <v>250</v>
      </c>
      <c r="G234" t="s">
        <v>27</v>
      </c>
      <c r="H234" s="1" t="s">
        <v>28</v>
      </c>
      <c r="I234" t="s">
        <v>29</v>
      </c>
      <c r="J234">
        <v>1</v>
      </c>
      <c r="K234">
        <v>5918.1</v>
      </c>
      <c r="L234">
        <v>5918.1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</v>
      </c>
      <c r="S234" t="s">
        <v>31</v>
      </c>
    </row>
    <row r="235" spans="1:19" x14ac:dyDescent="0.3">
      <c r="A235">
        <v>5246</v>
      </c>
      <c r="B235" t="s">
        <v>39</v>
      </c>
      <c r="C235" t="s">
        <v>23</v>
      </c>
      <c r="D235" t="s">
        <v>98</v>
      </c>
      <c r="E235" t="s">
        <v>273</v>
      </c>
      <c r="F235" t="s">
        <v>250</v>
      </c>
      <c r="G235" t="s">
        <v>27</v>
      </c>
      <c r="H235" s="1" t="s">
        <v>28</v>
      </c>
      <c r="I235" t="s">
        <v>121</v>
      </c>
      <c r="J235">
        <v>694.65</v>
      </c>
      <c r="K235">
        <v>7.69</v>
      </c>
      <c r="L235">
        <v>5338.88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30</v>
      </c>
      <c r="S235" t="s">
        <v>31</v>
      </c>
    </row>
    <row r="236" spans="1:19" x14ac:dyDescent="0.3">
      <c r="A236">
        <v>5247</v>
      </c>
      <c r="B236" t="s">
        <v>39</v>
      </c>
      <c r="C236" t="s">
        <v>23</v>
      </c>
      <c r="D236" t="s">
        <v>98</v>
      </c>
      <c r="E236" t="s">
        <v>243</v>
      </c>
      <c r="F236" t="s">
        <v>250</v>
      </c>
      <c r="G236" t="s">
        <v>27</v>
      </c>
      <c r="H236" s="1" t="s">
        <v>28</v>
      </c>
      <c r="I236" t="s">
        <v>121</v>
      </c>
      <c r="J236">
        <v>903.05</v>
      </c>
      <c r="K236">
        <v>5.74</v>
      </c>
      <c r="L236">
        <v>5186.0600000000004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</v>
      </c>
      <c r="S236" t="s">
        <v>31</v>
      </c>
    </row>
    <row r="237" spans="1:19" x14ac:dyDescent="0.3">
      <c r="A237">
        <v>5248</v>
      </c>
      <c r="B237" t="s">
        <v>36</v>
      </c>
      <c r="C237" t="s">
        <v>23</v>
      </c>
      <c r="D237" t="s">
        <v>36</v>
      </c>
      <c r="E237" t="s">
        <v>274</v>
      </c>
      <c r="F237" t="s">
        <v>250</v>
      </c>
      <c r="G237" t="s">
        <v>27</v>
      </c>
      <c r="H237" s="1" t="s">
        <v>28</v>
      </c>
      <c r="I237" t="s">
        <v>35</v>
      </c>
      <c r="J237">
        <v>1</v>
      </c>
      <c r="K237">
        <v>4761.8999999999996</v>
      </c>
      <c r="L237">
        <v>4761.8999999999996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30</v>
      </c>
      <c r="S237" t="s">
        <v>31</v>
      </c>
    </row>
    <row r="238" spans="1:19" x14ac:dyDescent="0.3">
      <c r="A238">
        <v>5249</v>
      </c>
      <c r="B238" t="s">
        <v>39</v>
      </c>
      <c r="C238" t="s">
        <v>23</v>
      </c>
      <c r="D238" t="s">
        <v>79</v>
      </c>
      <c r="E238" t="s">
        <v>275</v>
      </c>
      <c r="F238" t="s">
        <v>250</v>
      </c>
      <c r="G238" t="s">
        <v>27</v>
      </c>
      <c r="H238" s="1" t="s">
        <v>28</v>
      </c>
      <c r="I238" t="s">
        <v>29</v>
      </c>
      <c r="J238">
        <v>1</v>
      </c>
      <c r="K238">
        <v>4642.8599999999997</v>
      </c>
      <c r="L238">
        <v>4642.8599999999997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30</v>
      </c>
      <c r="S238" t="s">
        <v>31</v>
      </c>
    </row>
    <row r="239" spans="1:19" x14ac:dyDescent="0.3">
      <c r="A239">
        <v>5250</v>
      </c>
      <c r="B239" t="s">
        <v>39</v>
      </c>
      <c r="C239" t="s">
        <v>23</v>
      </c>
      <c r="D239" t="s">
        <v>98</v>
      </c>
      <c r="E239" t="s">
        <v>244</v>
      </c>
      <c r="F239" t="s">
        <v>250</v>
      </c>
      <c r="G239" t="s">
        <v>27</v>
      </c>
      <c r="H239" s="1" t="s">
        <v>28</v>
      </c>
      <c r="I239" t="s">
        <v>52</v>
      </c>
      <c r="J239">
        <v>770</v>
      </c>
      <c r="K239">
        <v>5</v>
      </c>
      <c r="L239">
        <v>3850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30</v>
      </c>
      <c r="S239" t="s">
        <v>31</v>
      </c>
    </row>
    <row r="240" spans="1:19" x14ac:dyDescent="0.3">
      <c r="A240">
        <v>5251</v>
      </c>
      <c r="B240" t="s">
        <v>39</v>
      </c>
      <c r="C240" t="s">
        <v>23</v>
      </c>
      <c r="D240" t="s">
        <v>212</v>
      </c>
      <c r="E240" t="s">
        <v>276</v>
      </c>
      <c r="F240" t="s">
        <v>250</v>
      </c>
      <c r="G240" t="s">
        <v>27</v>
      </c>
      <c r="H240" s="1" t="s">
        <v>28</v>
      </c>
      <c r="I240" t="s">
        <v>121</v>
      </c>
      <c r="J240">
        <v>10.79</v>
      </c>
      <c r="K240">
        <v>283.81</v>
      </c>
      <c r="L240">
        <v>3062.3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30</v>
      </c>
      <c r="S240" t="s">
        <v>31</v>
      </c>
    </row>
    <row r="241" spans="1:19" x14ac:dyDescent="0.3">
      <c r="A241">
        <v>5252</v>
      </c>
      <c r="B241" t="s">
        <v>39</v>
      </c>
      <c r="C241" t="s">
        <v>23</v>
      </c>
      <c r="D241" t="s">
        <v>79</v>
      </c>
      <c r="E241" t="s">
        <v>277</v>
      </c>
      <c r="F241" t="s">
        <v>250</v>
      </c>
      <c r="G241" t="s">
        <v>27</v>
      </c>
      <c r="H241" s="1" t="s">
        <v>28</v>
      </c>
      <c r="I241" t="s">
        <v>29</v>
      </c>
      <c r="J241">
        <v>1</v>
      </c>
      <c r="K241">
        <v>2881.57</v>
      </c>
      <c r="L241">
        <v>2881.57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</v>
      </c>
      <c r="S241" t="s">
        <v>31</v>
      </c>
    </row>
    <row r="242" spans="1:19" x14ac:dyDescent="0.3">
      <c r="A242">
        <v>5253</v>
      </c>
      <c r="B242" t="s">
        <v>39</v>
      </c>
      <c r="C242" t="s">
        <v>23</v>
      </c>
      <c r="D242" t="s">
        <v>129</v>
      </c>
      <c r="E242" t="s">
        <v>174</v>
      </c>
      <c r="F242" t="s">
        <v>250</v>
      </c>
      <c r="G242" t="s">
        <v>27</v>
      </c>
      <c r="H242" s="1" t="s">
        <v>28</v>
      </c>
      <c r="I242" t="s">
        <v>74</v>
      </c>
      <c r="J242">
        <v>41.43</v>
      </c>
      <c r="K242">
        <v>57.77</v>
      </c>
      <c r="L242">
        <v>2393.4699999999998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</v>
      </c>
      <c r="S242" t="s">
        <v>31</v>
      </c>
    </row>
    <row r="243" spans="1:19" x14ac:dyDescent="0.3">
      <c r="A243">
        <v>5254</v>
      </c>
      <c r="B243" t="s">
        <v>36</v>
      </c>
      <c r="C243" t="s">
        <v>23</v>
      </c>
      <c r="D243" t="s">
        <v>36</v>
      </c>
      <c r="E243" t="s">
        <v>115</v>
      </c>
      <c r="F243" t="s">
        <v>250</v>
      </c>
      <c r="G243" t="s">
        <v>27</v>
      </c>
      <c r="H243" s="1" t="s">
        <v>28</v>
      </c>
      <c r="I243" t="s">
        <v>35</v>
      </c>
      <c r="J243">
        <v>10</v>
      </c>
      <c r="K243">
        <v>238.1</v>
      </c>
      <c r="L243">
        <v>2380.9499999999998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30</v>
      </c>
      <c r="S243" t="s">
        <v>31</v>
      </c>
    </row>
    <row r="244" spans="1:19" x14ac:dyDescent="0.3">
      <c r="A244">
        <v>5255</v>
      </c>
      <c r="B244" t="s">
        <v>39</v>
      </c>
      <c r="C244" t="s">
        <v>23</v>
      </c>
      <c r="D244" t="s">
        <v>129</v>
      </c>
      <c r="E244" t="s">
        <v>278</v>
      </c>
      <c r="F244" t="s">
        <v>250</v>
      </c>
      <c r="G244" t="s">
        <v>27</v>
      </c>
      <c r="H244" s="1" t="s">
        <v>28</v>
      </c>
      <c r="I244" t="s">
        <v>74</v>
      </c>
      <c r="J244">
        <v>53</v>
      </c>
      <c r="K244">
        <v>34.31</v>
      </c>
      <c r="L244">
        <v>1818.66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30</v>
      </c>
      <c r="S244" t="s">
        <v>31</v>
      </c>
    </row>
    <row r="245" spans="1:19" x14ac:dyDescent="0.3">
      <c r="A245">
        <v>5256</v>
      </c>
      <c r="B245" t="s">
        <v>39</v>
      </c>
      <c r="C245" t="s">
        <v>23</v>
      </c>
      <c r="D245" t="s">
        <v>69</v>
      </c>
      <c r="E245" t="s">
        <v>279</v>
      </c>
      <c r="F245" t="s">
        <v>250</v>
      </c>
      <c r="G245" t="s">
        <v>27</v>
      </c>
      <c r="H245" s="1" t="s">
        <v>28</v>
      </c>
      <c r="I245" t="s">
        <v>52</v>
      </c>
      <c r="J245">
        <v>270</v>
      </c>
      <c r="K245">
        <v>6.71</v>
      </c>
      <c r="L245">
        <v>1812.86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30</v>
      </c>
      <c r="S245" t="s">
        <v>31</v>
      </c>
    </row>
    <row r="246" spans="1:19" x14ac:dyDescent="0.3">
      <c r="A246">
        <v>5257</v>
      </c>
      <c r="B246" t="s">
        <v>36</v>
      </c>
      <c r="C246" t="s">
        <v>23</v>
      </c>
      <c r="D246" t="s">
        <v>36</v>
      </c>
      <c r="E246" t="s">
        <v>280</v>
      </c>
      <c r="F246" t="s">
        <v>250</v>
      </c>
      <c r="G246" t="s">
        <v>27</v>
      </c>
      <c r="H246" s="1" t="s">
        <v>28</v>
      </c>
      <c r="I246" t="s">
        <v>35</v>
      </c>
      <c r="J246">
        <v>1</v>
      </c>
      <c r="K246">
        <v>1142.8599999999999</v>
      </c>
      <c r="L246">
        <v>1142.8599999999999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30</v>
      </c>
      <c r="S246" t="s">
        <v>31</v>
      </c>
    </row>
    <row r="247" spans="1:19" x14ac:dyDescent="0.3">
      <c r="A247">
        <v>5258</v>
      </c>
      <c r="B247" t="s">
        <v>39</v>
      </c>
      <c r="C247" t="s">
        <v>23</v>
      </c>
      <c r="D247" t="s">
        <v>50</v>
      </c>
      <c r="E247" t="s">
        <v>139</v>
      </c>
      <c r="F247" t="s">
        <v>250</v>
      </c>
      <c r="G247" t="s">
        <v>27</v>
      </c>
      <c r="H247" s="1" t="s">
        <v>28</v>
      </c>
      <c r="I247" t="s">
        <v>52</v>
      </c>
      <c r="J247">
        <v>31.16</v>
      </c>
      <c r="K247">
        <v>34.909999999999997</v>
      </c>
      <c r="L247">
        <v>1088.07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</v>
      </c>
      <c r="S247" t="s">
        <v>31</v>
      </c>
    </row>
    <row r="248" spans="1:19" x14ac:dyDescent="0.3">
      <c r="A248">
        <v>5259</v>
      </c>
      <c r="B248" t="s">
        <v>39</v>
      </c>
      <c r="C248" t="s">
        <v>23</v>
      </c>
      <c r="D248" t="s">
        <v>129</v>
      </c>
      <c r="E248" t="s">
        <v>281</v>
      </c>
      <c r="F248" t="s">
        <v>250</v>
      </c>
      <c r="G248" t="s">
        <v>27</v>
      </c>
      <c r="H248" s="1" t="s">
        <v>28</v>
      </c>
      <c r="I248" t="s">
        <v>29</v>
      </c>
      <c r="J248">
        <v>1</v>
      </c>
      <c r="K248">
        <v>1052.5999999999999</v>
      </c>
      <c r="L248">
        <v>1052.5999999999999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30</v>
      </c>
      <c r="S248" t="s">
        <v>31</v>
      </c>
    </row>
    <row r="249" spans="1:19" x14ac:dyDescent="0.3">
      <c r="A249">
        <v>5260</v>
      </c>
      <c r="B249" t="s">
        <v>36</v>
      </c>
      <c r="C249" t="s">
        <v>23</v>
      </c>
      <c r="D249" t="s">
        <v>36</v>
      </c>
      <c r="E249" t="s">
        <v>282</v>
      </c>
      <c r="F249" t="s">
        <v>250</v>
      </c>
      <c r="G249" t="s">
        <v>27</v>
      </c>
      <c r="H249" s="1" t="s">
        <v>28</v>
      </c>
      <c r="I249" t="s">
        <v>35</v>
      </c>
      <c r="J249">
        <v>1</v>
      </c>
      <c r="K249">
        <v>1047.6199999999999</v>
      </c>
      <c r="L249">
        <v>1047.6199999999999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30</v>
      </c>
      <c r="S249" t="s">
        <v>31</v>
      </c>
    </row>
    <row r="250" spans="1:19" x14ac:dyDescent="0.3">
      <c r="A250">
        <v>5261</v>
      </c>
      <c r="B250" t="s">
        <v>39</v>
      </c>
      <c r="C250" t="s">
        <v>23</v>
      </c>
      <c r="D250" t="s">
        <v>79</v>
      </c>
      <c r="E250" t="s">
        <v>283</v>
      </c>
      <c r="F250" t="s">
        <v>250</v>
      </c>
      <c r="G250" t="s">
        <v>27</v>
      </c>
      <c r="H250" s="1" t="s">
        <v>28</v>
      </c>
      <c r="I250" t="s">
        <v>35</v>
      </c>
      <c r="J250">
        <v>2</v>
      </c>
      <c r="K250">
        <v>463.81</v>
      </c>
      <c r="L250">
        <v>927.62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30</v>
      </c>
      <c r="S250" t="s">
        <v>31</v>
      </c>
    </row>
    <row r="251" spans="1:19" x14ac:dyDescent="0.3">
      <c r="A251">
        <v>5262</v>
      </c>
      <c r="B251" t="s">
        <v>36</v>
      </c>
      <c r="C251" t="s">
        <v>23</v>
      </c>
      <c r="D251" t="s">
        <v>36</v>
      </c>
      <c r="E251" t="s">
        <v>100</v>
      </c>
      <c r="F251" t="s">
        <v>250</v>
      </c>
      <c r="G251" t="s">
        <v>27</v>
      </c>
      <c r="H251" s="1" t="s">
        <v>28</v>
      </c>
      <c r="I251" t="s">
        <v>35</v>
      </c>
      <c r="J251">
        <v>1</v>
      </c>
      <c r="K251">
        <v>904.76</v>
      </c>
      <c r="L251">
        <v>904.76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</v>
      </c>
      <c r="S251" t="s">
        <v>31</v>
      </c>
    </row>
    <row r="252" spans="1:19" x14ac:dyDescent="0.3">
      <c r="A252">
        <v>5263</v>
      </c>
      <c r="B252" t="s">
        <v>39</v>
      </c>
      <c r="C252" t="s">
        <v>23</v>
      </c>
      <c r="D252" t="s">
        <v>79</v>
      </c>
      <c r="E252" t="s">
        <v>284</v>
      </c>
      <c r="F252" t="s">
        <v>250</v>
      </c>
      <c r="G252" t="s">
        <v>27</v>
      </c>
      <c r="H252" s="1" t="s">
        <v>28</v>
      </c>
      <c r="I252" t="s">
        <v>35</v>
      </c>
      <c r="J252">
        <v>3</v>
      </c>
      <c r="K252">
        <v>247.66</v>
      </c>
      <c r="L252">
        <v>742.97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30</v>
      </c>
      <c r="S252" t="s">
        <v>31</v>
      </c>
    </row>
    <row r="253" spans="1:19" x14ac:dyDescent="0.3">
      <c r="A253">
        <v>5264</v>
      </c>
      <c r="B253" t="s">
        <v>36</v>
      </c>
      <c r="C253" t="s">
        <v>23</v>
      </c>
      <c r="D253" t="s">
        <v>36</v>
      </c>
      <c r="E253" t="s">
        <v>107</v>
      </c>
      <c r="F253" t="s">
        <v>250</v>
      </c>
      <c r="G253" t="s">
        <v>27</v>
      </c>
      <c r="H253" s="1" t="s">
        <v>28</v>
      </c>
      <c r="I253" t="s">
        <v>35</v>
      </c>
      <c r="J253">
        <v>2</v>
      </c>
      <c r="K253">
        <v>333.33</v>
      </c>
      <c r="L253">
        <v>666.67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30</v>
      </c>
      <c r="S253" t="s">
        <v>31</v>
      </c>
    </row>
    <row r="254" spans="1:19" x14ac:dyDescent="0.3">
      <c r="A254">
        <v>5265</v>
      </c>
      <c r="B254" t="s">
        <v>39</v>
      </c>
      <c r="C254" t="s">
        <v>23</v>
      </c>
      <c r="D254" t="s">
        <v>40</v>
      </c>
      <c r="E254" t="s">
        <v>285</v>
      </c>
      <c r="F254" t="s">
        <v>250</v>
      </c>
      <c r="G254" t="s">
        <v>27</v>
      </c>
      <c r="H254" s="1" t="s">
        <v>28</v>
      </c>
      <c r="I254" t="s">
        <v>74</v>
      </c>
      <c r="J254">
        <v>2.1</v>
      </c>
      <c r="K254">
        <v>291.07</v>
      </c>
      <c r="L254">
        <v>611.24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</v>
      </c>
      <c r="S254" t="s">
        <v>31</v>
      </c>
    </row>
    <row r="255" spans="1:19" x14ac:dyDescent="0.3">
      <c r="A255">
        <v>5266</v>
      </c>
      <c r="B255" t="s">
        <v>36</v>
      </c>
      <c r="C255" t="s">
        <v>23</v>
      </c>
      <c r="D255" t="s">
        <v>36</v>
      </c>
      <c r="E255" t="s">
        <v>286</v>
      </c>
      <c r="F255" t="s">
        <v>250</v>
      </c>
      <c r="G255" t="s">
        <v>27</v>
      </c>
      <c r="H255" s="1" t="s">
        <v>28</v>
      </c>
      <c r="I255" t="s">
        <v>35</v>
      </c>
      <c r="J255">
        <v>1</v>
      </c>
      <c r="K255">
        <v>333.33</v>
      </c>
      <c r="L255">
        <v>333.33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30</v>
      </c>
      <c r="S255" t="s">
        <v>31</v>
      </c>
    </row>
    <row r="256" spans="1:19" x14ac:dyDescent="0.3">
      <c r="A256">
        <v>5267</v>
      </c>
      <c r="B256" t="s">
        <v>39</v>
      </c>
      <c r="C256" t="s">
        <v>23</v>
      </c>
      <c r="D256" t="s">
        <v>50</v>
      </c>
      <c r="E256" t="s">
        <v>287</v>
      </c>
      <c r="F256" t="s">
        <v>250</v>
      </c>
      <c r="G256" t="s">
        <v>27</v>
      </c>
      <c r="H256" s="1" t="s">
        <v>28</v>
      </c>
      <c r="I256" t="s">
        <v>52</v>
      </c>
      <c r="J256">
        <v>8.5500000000000007</v>
      </c>
      <c r="K256">
        <v>25.33</v>
      </c>
      <c r="L256">
        <v>216.6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30</v>
      </c>
      <c r="S256" t="s">
        <v>31</v>
      </c>
    </row>
    <row r="257" spans="1:19" x14ac:dyDescent="0.3">
      <c r="A257">
        <v>5268</v>
      </c>
      <c r="B257" t="s">
        <v>22</v>
      </c>
      <c r="C257" t="s">
        <v>23</v>
      </c>
      <c r="D257" t="s">
        <v>24</v>
      </c>
      <c r="E257" t="s">
        <v>249</v>
      </c>
      <c r="F257" t="s">
        <v>250</v>
      </c>
      <c r="G257" t="s">
        <v>27</v>
      </c>
      <c r="H257" s="1" t="s">
        <v>28</v>
      </c>
      <c r="I257" t="s">
        <v>35</v>
      </c>
      <c r="J257">
        <v>2</v>
      </c>
      <c r="K257">
        <v>2500</v>
      </c>
      <c r="L257">
        <v>5000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</v>
      </c>
      <c r="S257" t="s">
        <v>31</v>
      </c>
    </row>
    <row r="258" spans="1:19" x14ac:dyDescent="0.3">
      <c r="A258">
        <v>5269</v>
      </c>
      <c r="B258" t="s">
        <v>39</v>
      </c>
      <c r="C258" t="s">
        <v>23</v>
      </c>
      <c r="D258" t="s">
        <v>212</v>
      </c>
      <c r="E258" t="s">
        <v>110</v>
      </c>
      <c r="F258" t="s">
        <v>288</v>
      </c>
      <c r="G258" t="s">
        <v>27</v>
      </c>
      <c r="H258" s="1" t="s">
        <v>28</v>
      </c>
      <c r="I258" t="s">
        <v>112</v>
      </c>
      <c r="J258">
        <v>26040</v>
      </c>
      <c r="K258">
        <v>3.33</v>
      </c>
      <c r="L258">
        <v>86800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30</v>
      </c>
      <c r="S258" t="s">
        <v>31</v>
      </c>
    </row>
    <row r="259" spans="1:19" x14ac:dyDescent="0.3">
      <c r="A259">
        <v>5270</v>
      </c>
      <c r="B259" t="s">
        <v>32</v>
      </c>
      <c r="C259" t="s">
        <v>23</v>
      </c>
      <c r="D259" t="s">
        <v>33</v>
      </c>
      <c r="E259" t="s">
        <v>289</v>
      </c>
      <c r="F259" t="s">
        <v>288</v>
      </c>
      <c r="G259" t="s">
        <v>27</v>
      </c>
      <c r="H259" s="1" t="s">
        <v>28</v>
      </c>
      <c r="I259" t="s">
        <v>29</v>
      </c>
      <c r="J259">
        <v>1</v>
      </c>
      <c r="K259">
        <v>38095.24</v>
      </c>
      <c r="L259">
        <v>38095.24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30</v>
      </c>
      <c r="S259" t="s">
        <v>31</v>
      </c>
    </row>
    <row r="260" spans="1:19" x14ac:dyDescent="0.3">
      <c r="A260">
        <v>5271</v>
      </c>
      <c r="B260" t="s">
        <v>36</v>
      </c>
      <c r="C260" t="s">
        <v>23</v>
      </c>
      <c r="D260" t="s">
        <v>36</v>
      </c>
      <c r="E260" t="s">
        <v>290</v>
      </c>
      <c r="F260" t="s">
        <v>288</v>
      </c>
      <c r="G260" t="s">
        <v>27</v>
      </c>
      <c r="H260" s="1" t="s">
        <v>28</v>
      </c>
      <c r="I260" t="s">
        <v>35</v>
      </c>
      <c r="J260">
        <v>102</v>
      </c>
      <c r="K260">
        <v>333.33</v>
      </c>
      <c r="L260">
        <v>34000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30</v>
      </c>
      <c r="S260" t="s">
        <v>31</v>
      </c>
    </row>
    <row r="261" spans="1:19" x14ac:dyDescent="0.3">
      <c r="A261">
        <v>5272</v>
      </c>
      <c r="B261" t="s">
        <v>39</v>
      </c>
      <c r="C261" t="s">
        <v>23</v>
      </c>
      <c r="D261" t="s">
        <v>212</v>
      </c>
      <c r="E261" t="s">
        <v>291</v>
      </c>
      <c r="F261" t="s">
        <v>288</v>
      </c>
      <c r="G261" t="s">
        <v>27</v>
      </c>
      <c r="H261" s="1" t="s">
        <v>28</v>
      </c>
      <c r="I261" t="s">
        <v>121</v>
      </c>
      <c r="J261">
        <v>116.24</v>
      </c>
      <c r="K261">
        <v>278.10000000000002</v>
      </c>
      <c r="L261">
        <v>32325.57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30</v>
      </c>
      <c r="S261" t="s">
        <v>31</v>
      </c>
    </row>
    <row r="262" spans="1:19" x14ac:dyDescent="0.3">
      <c r="A262">
        <v>5273</v>
      </c>
      <c r="B262" t="s">
        <v>22</v>
      </c>
      <c r="C262" t="s">
        <v>23</v>
      </c>
      <c r="D262" t="s">
        <v>24</v>
      </c>
      <c r="E262" t="s">
        <v>25</v>
      </c>
      <c r="F262" t="s">
        <v>288</v>
      </c>
      <c r="G262" t="s">
        <v>27</v>
      </c>
      <c r="H262" s="1" t="s">
        <v>28</v>
      </c>
      <c r="I262" t="s">
        <v>29</v>
      </c>
      <c r="J262">
        <v>1</v>
      </c>
      <c r="K262">
        <v>20000</v>
      </c>
      <c r="L262">
        <v>20000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30</v>
      </c>
      <c r="S262" t="s">
        <v>31</v>
      </c>
    </row>
    <row r="263" spans="1:19" x14ac:dyDescent="0.3">
      <c r="A263">
        <v>5274</v>
      </c>
      <c r="B263" t="s">
        <v>36</v>
      </c>
      <c r="C263" t="s">
        <v>23</v>
      </c>
      <c r="D263" t="s">
        <v>36</v>
      </c>
      <c r="E263" t="s">
        <v>292</v>
      </c>
      <c r="F263" t="s">
        <v>288</v>
      </c>
      <c r="G263" t="s">
        <v>27</v>
      </c>
      <c r="H263" s="1" t="s">
        <v>28</v>
      </c>
      <c r="I263" t="s">
        <v>35</v>
      </c>
      <c r="J263">
        <v>1</v>
      </c>
      <c r="K263">
        <v>19619.05</v>
      </c>
      <c r="L263">
        <v>19619.05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</v>
      </c>
      <c r="S263" t="s">
        <v>31</v>
      </c>
    </row>
    <row r="264" spans="1:19" x14ac:dyDescent="0.3">
      <c r="A264">
        <v>5275</v>
      </c>
      <c r="B264" t="s">
        <v>36</v>
      </c>
      <c r="C264" t="s">
        <v>23</v>
      </c>
      <c r="D264" t="s">
        <v>36</v>
      </c>
      <c r="E264" t="s">
        <v>241</v>
      </c>
      <c r="F264" t="s">
        <v>288</v>
      </c>
      <c r="G264" t="s">
        <v>27</v>
      </c>
      <c r="H264" s="1" t="s">
        <v>28</v>
      </c>
      <c r="I264" t="s">
        <v>35</v>
      </c>
      <c r="J264">
        <v>1</v>
      </c>
      <c r="K264">
        <v>19047.62</v>
      </c>
      <c r="L264">
        <v>19047.62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30</v>
      </c>
      <c r="S264" t="s">
        <v>31</v>
      </c>
    </row>
    <row r="265" spans="1:19" x14ac:dyDescent="0.3">
      <c r="A265">
        <v>5276</v>
      </c>
      <c r="B265" t="s">
        <v>39</v>
      </c>
      <c r="C265" t="s">
        <v>23</v>
      </c>
      <c r="D265" t="s">
        <v>212</v>
      </c>
      <c r="E265" t="s">
        <v>293</v>
      </c>
      <c r="F265" t="s">
        <v>288</v>
      </c>
      <c r="G265" t="s">
        <v>27</v>
      </c>
      <c r="H265" s="1" t="s">
        <v>28</v>
      </c>
      <c r="I265" t="s">
        <v>112</v>
      </c>
      <c r="J265">
        <v>5334</v>
      </c>
      <c r="K265">
        <v>3.33</v>
      </c>
      <c r="L265">
        <v>17780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</v>
      </c>
      <c r="S265" t="s">
        <v>31</v>
      </c>
    </row>
    <row r="266" spans="1:19" x14ac:dyDescent="0.3">
      <c r="A266">
        <v>5277</v>
      </c>
      <c r="B266" t="s">
        <v>39</v>
      </c>
      <c r="C266" t="s">
        <v>23</v>
      </c>
      <c r="D266" t="s">
        <v>61</v>
      </c>
      <c r="E266" t="s">
        <v>137</v>
      </c>
      <c r="F266" t="s">
        <v>288</v>
      </c>
      <c r="G266" t="s">
        <v>27</v>
      </c>
      <c r="H266" s="1" t="s">
        <v>28</v>
      </c>
      <c r="I266" t="s">
        <v>35</v>
      </c>
      <c r="J266">
        <v>32</v>
      </c>
      <c r="K266">
        <v>438.1</v>
      </c>
      <c r="L266">
        <v>14019.05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30</v>
      </c>
      <c r="S266" t="s">
        <v>31</v>
      </c>
    </row>
    <row r="267" spans="1:19" x14ac:dyDescent="0.3">
      <c r="A267">
        <v>5278</v>
      </c>
      <c r="B267" t="s">
        <v>32</v>
      </c>
      <c r="C267" t="s">
        <v>23</v>
      </c>
      <c r="D267" t="s">
        <v>215</v>
      </c>
      <c r="E267" t="s">
        <v>294</v>
      </c>
      <c r="F267" t="s">
        <v>288</v>
      </c>
      <c r="G267" t="s">
        <v>27</v>
      </c>
      <c r="H267" s="1" t="s">
        <v>28</v>
      </c>
      <c r="I267" t="s">
        <v>29</v>
      </c>
      <c r="J267">
        <v>1</v>
      </c>
      <c r="K267">
        <v>14000</v>
      </c>
      <c r="L267">
        <v>14000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30</v>
      </c>
      <c r="S267" t="s">
        <v>31</v>
      </c>
    </row>
    <row r="268" spans="1:19" x14ac:dyDescent="0.3">
      <c r="A268">
        <v>5279</v>
      </c>
      <c r="B268" t="s">
        <v>39</v>
      </c>
      <c r="C268" t="s">
        <v>23</v>
      </c>
      <c r="D268" t="s">
        <v>50</v>
      </c>
      <c r="E268" t="s">
        <v>118</v>
      </c>
      <c r="F268" t="s">
        <v>288</v>
      </c>
      <c r="G268" t="s">
        <v>27</v>
      </c>
      <c r="H268" s="1" t="s">
        <v>28</v>
      </c>
      <c r="I268" t="s">
        <v>52</v>
      </c>
      <c r="J268">
        <v>376.12</v>
      </c>
      <c r="K268">
        <v>36.1</v>
      </c>
      <c r="L268">
        <v>13576.14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30</v>
      </c>
      <c r="S268" t="s">
        <v>31</v>
      </c>
    </row>
    <row r="269" spans="1:19" x14ac:dyDescent="0.3">
      <c r="A269">
        <v>5280</v>
      </c>
      <c r="B269" t="s">
        <v>39</v>
      </c>
      <c r="C269" t="s">
        <v>23</v>
      </c>
      <c r="D269" t="s">
        <v>212</v>
      </c>
      <c r="E269" t="s">
        <v>150</v>
      </c>
      <c r="F269" t="s">
        <v>288</v>
      </c>
      <c r="G269" t="s">
        <v>27</v>
      </c>
      <c r="H269" s="1" t="s">
        <v>28</v>
      </c>
      <c r="I269" t="s">
        <v>112</v>
      </c>
      <c r="J269">
        <v>5931</v>
      </c>
      <c r="K269">
        <v>2.29</v>
      </c>
      <c r="L269">
        <v>13556.57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</v>
      </c>
      <c r="S269" t="s">
        <v>31</v>
      </c>
    </row>
    <row r="270" spans="1:19" x14ac:dyDescent="0.3">
      <c r="A270">
        <v>5281</v>
      </c>
      <c r="B270" t="s">
        <v>39</v>
      </c>
      <c r="C270" t="s">
        <v>23</v>
      </c>
      <c r="D270" t="s">
        <v>50</v>
      </c>
      <c r="E270" t="s">
        <v>118</v>
      </c>
      <c r="F270" t="s">
        <v>288</v>
      </c>
      <c r="G270" t="s">
        <v>27</v>
      </c>
      <c r="H270" s="1" t="s">
        <v>28</v>
      </c>
      <c r="I270" t="s">
        <v>52</v>
      </c>
      <c r="J270">
        <v>372</v>
      </c>
      <c r="K270">
        <v>36.1</v>
      </c>
      <c r="L270">
        <v>13427.43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30</v>
      </c>
      <c r="S270" t="s">
        <v>31</v>
      </c>
    </row>
    <row r="271" spans="1:19" x14ac:dyDescent="0.3">
      <c r="A271">
        <v>5282</v>
      </c>
      <c r="B271" t="s">
        <v>39</v>
      </c>
      <c r="C271" t="s">
        <v>23</v>
      </c>
      <c r="D271" t="s">
        <v>47</v>
      </c>
      <c r="E271" t="s">
        <v>295</v>
      </c>
      <c r="F271" t="s">
        <v>288</v>
      </c>
      <c r="G271" t="s">
        <v>27</v>
      </c>
      <c r="H271" s="1" t="s">
        <v>28</v>
      </c>
      <c r="I271" t="s">
        <v>35</v>
      </c>
      <c r="J271">
        <v>1</v>
      </c>
      <c r="K271">
        <v>12380.95</v>
      </c>
      <c r="L271">
        <v>12380.95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</v>
      </c>
      <c r="S271" t="s">
        <v>31</v>
      </c>
    </row>
    <row r="272" spans="1:19" x14ac:dyDescent="0.3">
      <c r="A272">
        <v>5283</v>
      </c>
      <c r="B272" t="s">
        <v>39</v>
      </c>
      <c r="C272" t="s">
        <v>23</v>
      </c>
      <c r="D272" t="s">
        <v>212</v>
      </c>
      <c r="E272" t="s">
        <v>296</v>
      </c>
      <c r="F272" t="s">
        <v>288</v>
      </c>
      <c r="G272" t="s">
        <v>27</v>
      </c>
      <c r="H272" s="1" t="s">
        <v>28</v>
      </c>
      <c r="I272" t="s">
        <v>112</v>
      </c>
      <c r="J272">
        <v>3614.27</v>
      </c>
      <c r="K272">
        <v>3.33</v>
      </c>
      <c r="L272">
        <v>12047.57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</v>
      </c>
      <c r="S272" t="s">
        <v>31</v>
      </c>
    </row>
    <row r="273" spans="1:19" x14ac:dyDescent="0.3">
      <c r="A273">
        <v>5284</v>
      </c>
      <c r="B273" t="s">
        <v>39</v>
      </c>
      <c r="C273" t="s">
        <v>23</v>
      </c>
      <c r="D273" t="s">
        <v>212</v>
      </c>
      <c r="E273" t="s">
        <v>124</v>
      </c>
      <c r="F273" t="s">
        <v>288</v>
      </c>
      <c r="G273" t="s">
        <v>27</v>
      </c>
      <c r="H273" s="1" t="s">
        <v>28</v>
      </c>
      <c r="I273" t="s">
        <v>121</v>
      </c>
      <c r="J273">
        <v>40.92</v>
      </c>
      <c r="K273">
        <v>272.08999999999997</v>
      </c>
      <c r="L273">
        <v>11133.75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30</v>
      </c>
      <c r="S273" t="s">
        <v>31</v>
      </c>
    </row>
    <row r="274" spans="1:19" x14ac:dyDescent="0.3">
      <c r="A274">
        <v>5285</v>
      </c>
      <c r="B274" t="s">
        <v>39</v>
      </c>
      <c r="C274" t="s">
        <v>23</v>
      </c>
      <c r="D274" t="s">
        <v>212</v>
      </c>
      <c r="E274" t="s">
        <v>140</v>
      </c>
      <c r="F274" t="s">
        <v>288</v>
      </c>
      <c r="G274" t="s">
        <v>27</v>
      </c>
      <c r="H274" s="1" t="s">
        <v>28</v>
      </c>
      <c r="I274" t="s">
        <v>52</v>
      </c>
      <c r="J274">
        <v>748.12</v>
      </c>
      <c r="K274">
        <v>14.27</v>
      </c>
      <c r="L274">
        <v>10673.18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30</v>
      </c>
      <c r="S274" t="s">
        <v>31</v>
      </c>
    </row>
    <row r="275" spans="1:19" x14ac:dyDescent="0.3">
      <c r="A275">
        <v>5286</v>
      </c>
      <c r="B275" t="s">
        <v>39</v>
      </c>
      <c r="C275" t="s">
        <v>23</v>
      </c>
      <c r="D275" t="s">
        <v>297</v>
      </c>
      <c r="E275" t="s">
        <v>298</v>
      </c>
      <c r="F275" t="s">
        <v>288</v>
      </c>
      <c r="G275" t="s">
        <v>27</v>
      </c>
      <c r="H275" s="1" t="s">
        <v>28</v>
      </c>
      <c r="I275" t="s">
        <v>35</v>
      </c>
      <c r="J275">
        <v>8</v>
      </c>
      <c r="K275">
        <v>1300</v>
      </c>
      <c r="L275">
        <v>10400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30</v>
      </c>
      <c r="S275" t="s">
        <v>31</v>
      </c>
    </row>
    <row r="276" spans="1:19" x14ac:dyDescent="0.3">
      <c r="A276">
        <v>5287</v>
      </c>
      <c r="B276" t="s">
        <v>39</v>
      </c>
      <c r="C276" t="s">
        <v>23</v>
      </c>
      <c r="D276" t="s">
        <v>129</v>
      </c>
      <c r="E276" t="s">
        <v>130</v>
      </c>
      <c r="F276" t="s">
        <v>288</v>
      </c>
      <c r="G276" t="s">
        <v>27</v>
      </c>
      <c r="H276" s="1" t="s">
        <v>28</v>
      </c>
      <c r="I276" t="s">
        <v>52</v>
      </c>
      <c r="J276">
        <v>714</v>
      </c>
      <c r="K276">
        <v>13.98</v>
      </c>
      <c r="L276">
        <v>9982.4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30</v>
      </c>
      <c r="S276" t="s">
        <v>31</v>
      </c>
    </row>
    <row r="277" spans="1:19" x14ac:dyDescent="0.3">
      <c r="A277">
        <v>5288</v>
      </c>
      <c r="B277" t="s">
        <v>39</v>
      </c>
      <c r="C277" t="s">
        <v>23</v>
      </c>
      <c r="D277" t="s">
        <v>50</v>
      </c>
      <c r="E277" t="s">
        <v>299</v>
      </c>
      <c r="F277" t="s">
        <v>288</v>
      </c>
      <c r="G277" t="s">
        <v>27</v>
      </c>
      <c r="H277" s="1" t="s">
        <v>28</v>
      </c>
      <c r="I277" t="s">
        <v>52</v>
      </c>
      <c r="J277">
        <v>376.12</v>
      </c>
      <c r="K277">
        <v>25.33</v>
      </c>
      <c r="L277">
        <v>9528.3700000000008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30</v>
      </c>
      <c r="S277" t="s">
        <v>31</v>
      </c>
    </row>
    <row r="278" spans="1:19" x14ac:dyDescent="0.3">
      <c r="A278">
        <v>5289</v>
      </c>
      <c r="B278" t="s">
        <v>42</v>
      </c>
      <c r="C278" t="s">
        <v>23</v>
      </c>
      <c r="D278" t="s">
        <v>43</v>
      </c>
      <c r="E278" t="s">
        <v>300</v>
      </c>
      <c r="F278" t="s">
        <v>288</v>
      </c>
      <c r="G278" t="s">
        <v>27</v>
      </c>
      <c r="H278" s="1" t="s">
        <v>28</v>
      </c>
      <c r="I278" t="s">
        <v>29</v>
      </c>
      <c r="J278">
        <v>1</v>
      </c>
      <c r="K278">
        <v>8328.91</v>
      </c>
      <c r="L278">
        <v>8328.91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</v>
      </c>
      <c r="S278" t="s">
        <v>31</v>
      </c>
    </row>
    <row r="279" spans="1:19" x14ac:dyDescent="0.3">
      <c r="A279">
        <v>5290</v>
      </c>
      <c r="B279" t="s">
        <v>39</v>
      </c>
      <c r="C279" t="s">
        <v>23</v>
      </c>
      <c r="D279" t="s">
        <v>50</v>
      </c>
      <c r="E279" t="s">
        <v>301</v>
      </c>
      <c r="F279" t="s">
        <v>288</v>
      </c>
      <c r="G279" t="s">
        <v>27</v>
      </c>
      <c r="H279" s="1" t="s">
        <v>28</v>
      </c>
      <c r="I279" t="s">
        <v>52</v>
      </c>
      <c r="J279">
        <v>372</v>
      </c>
      <c r="K279">
        <v>21.71</v>
      </c>
      <c r="L279">
        <v>8077.71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30</v>
      </c>
      <c r="S279" t="s">
        <v>31</v>
      </c>
    </row>
    <row r="280" spans="1:19" x14ac:dyDescent="0.3">
      <c r="A280">
        <v>5291</v>
      </c>
      <c r="B280" t="s">
        <v>39</v>
      </c>
      <c r="C280" t="s">
        <v>23</v>
      </c>
      <c r="D280" t="s">
        <v>98</v>
      </c>
      <c r="E280" t="s">
        <v>302</v>
      </c>
      <c r="F280" t="s">
        <v>288</v>
      </c>
      <c r="G280" t="s">
        <v>27</v>
      </c>
      <c r="H280" s="1" t="s">
        <v>28</v>
      </c>
      <c r="I280" t="s">
        <v>112</v>
      </c>
      <c r="J280">
        <v>9400</v>
      </c>
      <c r="K280">
        <v>0.86</v>
      </c>
      <c r="L280">
        <v>8057.14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</v>
      </c>
      <c r="S280" t="s">
        <v>31</v>
      </c>
    </row>
    <row r="281" spans="1:19" x14ac:dyDescent="0.3">
      <c r="A281">
        <v>5292</v>
      </c>
      <c r="B281" t="s">
        <v>32</v>
      </c>
      <c r="C281" t="s">
        <v>23</v>
      </c>
      <c r="D281" t="s">
        <v>215</v>
      </c>
      <c r="E281" t="s">
        <v>303</v>
      </c>
      <c r="F281" t="s">
        <v>288</v>
      </c>
      <c r="G281" t="s">
        <v>27</v>
      </c>
      <c r="H281" s="1" t="s">
        <v>28</v>
      </c>
      <c r="I281" t="s">
        <v>29</v>
      </c>
      <c r="J281">
        <v>1</v>
      </c>
      <c r="K281">
        <v>8000</v>
      </c>
      <c r="L281">
        <v>8000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</v>
      </c>
      <c r="S281" t="s">
        <v>31</v>
      </c>
    </row>
    <row r="282" spans="1:19" x14ac:dyDescent="0.3">
      <c r="A282">
        <v>5293</v>
      </c>
      <c r="B282" t="s">
        <v>39</v>
      </c>
      <c r="C282" t="s">
        <v>23</v>
      </c>
      <c r="D282" t="s">
        <v>129</v>
      </c>
      <c r="E282" t="s">
        <v>130</v>
      </c>
      <c r="F282" t="s">
        <v>288</v>
      </c>
      <c r="G282" t="s">
        <v>27</v>
      </c>
      <c r="H282" s="1" t="s">
        <v>28</v>
      </c>
      <c r="I282" t="s">
        <v>52</v>
      </c>
      <c r="J282">
        <v>571.34</v>
      </c>
      <c r="K282">
        <v>13.98</v>
      </c>
      <c r="L282">
        <v>7987.88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30</v>
      </c>
      <c r="S282" t="s">
        <v>31</v>
      </c>
    </row>
    <row r="283" spans="1:19" x14ac:dyDescent="0.3">
      <c r="A283">
        <v>5294</v>
      </c>
      <c r="B283" t="s">
        <v>220</v>
      </c>
      <c r="C283" t="s">
        <v>23</v>
      </c>
      <c r="D283" t="s">
        <v>304</v>
      </c>
      <c r="E283" t="s">
        <v>305</v>
      </c>
      <c r="F283" t="s">
        <v>288</v>
      </c>
      <c r="G283" t="s">
        <v>27</v>
      </c>
      <c r="H283" s="1" t="s">
        <v>28</v>
      </c>
      <c r="I283" t="s">
        <v>29</v>
      </c>
      <c r="J283">
        <v>1</v>
      </c>
      <c r="K283">
        <v>7619.05</v>
      </c>
      <c r="L283">
        <v>7619.05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30</v>
      </c>
      <c r="S283" t="s">
        <v>31</v>
      </c>
    </row>
    <row r="284" spans="1:19" x14ac:dyDescent="0.3">
      <c r="A284">
        <v>5295</v>
      </c>
      <c r="B284" t="s">
        <v>39</v>
      </c>
      <c r="C284" t="s">
        <v>23</v>
      </c>
      <c r="D284" t="s">
        <v>54</v>
      </c>
      <c r="E284" t="s">
        <v>306</v>
      </c>
      <c r="F284" t="s">
        <v>288</v>
      </c>
      <c r="G284" t="s">
        <v>27</v>
      </c>
      <c r="H284" s="1" t="s">
        <v>28</v>
      </c>
      <c r="I284" t="s">
        <v>35</v>
      </c>
      <c r="J284">
        <v>9</v>
      </c>
      <c r="K284">
        <v>832.38</v>
      </c>
      <c r="L284">
        <v>7491.43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30</v>
      </c>
      <c r="S284" t="s">
        <v>31</v>
      </c>
    </row>
    <row r="285" spans="1:19" x14ac:dyDescent="0.3">
      <c r="A285">
        <v>5296</v>
      </c>
      <c r="B285" t="s">
        <v>39</v>
      </c>
      <c r="C285" t="s">
        <v>23</v>
      </c>
      <c r="D285" t="s">
        <v>129</v>
      </c>
      <c r="E285" t="s">
        <v>132</v>
      </c>
      <c r="F285" t="s">
        <v>288</v>
      </c>
      <c r="G285" t="s">
        <v>27</v>
      </c>
      <c r="H285" s="1" t="s">
        <v>28</v>
      </c>
      <c r="I285" t="s">
        <v>52</v>
      </c>
      <c r="J285">
        <v>357</v>
      </c>
      <c r="K285">
        <v>19.45</v>
      </c>
      <c r="L285">
        <v>6942.8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30</v>
      </c>
      <c r="S285" t="s">
        <v>31</v>
      </c>
    </row>
    <row r="286" spans="1:19" x14ac:dyDescent="0.3">
      <c r="A286">
        <v>5297</v>
      </c>
      <c r="B286" t="s">
        <v>36</v>
      </c>
      <c r="C286" t="s">
        <v>23</v>
      </c>
      <c r="D286" t="s">
        <v>36</v>
      </c>
      <c r="E286" t="s">
        <v>307</v>
      </c>
      <c r="F286" t="s">
        <v>288</v>
      </c>
      <c r="G286" t="s">
        <v>27</v>
      </c>
      <c r="H286" s="1" t="s">
        <v>28</v>
      </c>
      <c r="I286" t="s">
        <v>308</v>
      </c>
      <c r="J286">
        <v>75</v>
      </c>
      <c r="K286">
        <v>90.48</v>
      </c>
      <c r="L286">
        <v>6785.71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30</v>
      </c>
      <c r="S286" t="s">
        <v>31</v>
      </c>
    </row>
    <row r="287" spans="1:19" x14ac:dyDescent="0.3">
      <c r="A287">
        <v>5298</v>
      </c>
      <c r="B287" t="s">
        <v>39</v>
      </c>
      <c r="C287" t="s">
        <v>23</v>
      </c>
      <c r="D287" t="s">
        <v>212</v>
      </c>
      <c r="E287" t="s">
        <v>133</v>
      </c>
      <c r="F287" t="s">
        <v>288</v>
      </c>
      <c r="G287" t="s">
        <v>27</v>
      </c>
      <c r="H287" s="1" t="s">
        <v>28</v>
      </c>
      <c r="I287" t="s">
        <v>52</v>
      </c>
      <c r="J287">
        <v>372</v>
      </c>
      <c r="K287">
        <v>17.98</v>
      </c>
      <c r="L287">
        <v>6688.91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30</v>
      </c>
      <c r="S287" t="s">
        <v>31</v>
      </c>
    </row>
    <row r="288" spans="1:19" x14ac:dyDescent="0.3">
      <c r="A288">
        <v>5299</v>
      </c>
      <c r="B288" t="s">
        <v>39</v>
      </c>
      <c r="C288" t="s">
        <v>23</v>
      </c>
      <c r="D288" t="s">
        <v>297</v>
      </c>
      <c r="E288" t="s">
        <v>309</v>
      </c>
      <c r="F288" t="s">
        <v>288</v>
      </c>
      <c r="G288" t="s">
        <v>27</v>
      </c>
      <c r="H288" s="1" t="s">
        <v>28</v>
      </c>
      <c r="I288" t="s">
        <v>35</v>
      </c>
      <c r="J288">
        <v>12</v>
      </c>
      <c r="K288">
        <v>552.38</v>
      </c>
      <c r="L288">
        <v>6628.57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30</v>
      </c>
      <c r="S288" t="s">
        <v>31</v>
      </c>
    </row>
    <row r="289" spans="1:19" x14ac:dyDescent="0.3">
      <c r="A289">
        <v>5300</v>
      </c>
      <c r="B289" t="s">
        <v>32</v>
      </c>
      <c r="C289" t="s">
        <v>23</v>
      </c>
      <c r="D289" t="s">
        <v>215</v>
      </c>
      <c r="E289" t="s">
        <v>310</v>
      </c>
      <c r="F289" t="s">
        <v>288</v>
      </c>
      <c r="G289" t="s">
        <v>27</v>
      </c>
      <c r="H289" s="1" t="s">
        <v>28</v>
      </c>
      <c r="I289" t="s">
        <v>29</v>
      </c>
      <c r="J289">
        <v>1</v>
      </c>
      <c r="K289">
        <v>6000</v>
      </c>
      <c r="L289">
        <v>6000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30</v>
      </c>
      <c r="S289" t="s">
        <v>31</v>
      </c>
    </row>
    <row r="290" spans="1:19" x14ac:dyDescent="0.3">
      <c r="A290">
        <v>5301</v>
      </c>
      <c r="B290" t="s">
        <v>39</v>
      </c>
      <c r="C290" t="s">
        <v>23</v>
      </c>
      <c r="D290" t="s">
        <v>40</v>
      </c>
      <c r="E290" t="s">
        <v>142</v>
      </c>
      <c r="F290" t="s">
        <v>288</v>
      </c>
      <c r="G290" t="s">
        <v>27</v>
      </c>
      <c r="H290" s="1" t="s">
        <v>28</v>
      </c>
      <c r="I290" t="s">
        <v>52</v>
      </c>
      <c r="J290">
        <v>42.17</v>
      </c>
      <c r="K290">
        <v>138.1</v>
      </c>
      <c r="L290">
        <v>5823.48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30</v>
      </c>
      <c r="S290" t="s">
        <v>31</v>
      </c>
    </row>
    <row r="291" spans="1:19" x14ac:dyDescent="0.3">
      <c r="A291">
        <v>5302</v>
      </c>
      <c r="B291" t="s">
        <v>39</v>
      </c>
      <c r="C291" t="s">
        <v>23</v>
      </c>
      <c r="D291" t="s">
        <v>125</v>
      </c>
      <c r="E291" t="s">
        <v>309</v>
      </c>
      <c r="F291" t="s">
        <v>288</v>
      </c>
      <c r="G291" t="s">
        <v>27</v>
      </c>
      <c r="H291" s="1" t="s">
        <v>28</v>
      </c>
      <c r="I291" t="s">
        <v>35</v>
      </c>
      <c r="J291">
        <v>12</v>
      </c>
      <c r="K291">
        <v>469.3</v>
      </c>
      <c r="L291">
        <v>5631.66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</v>
      </c>
      <c r="S291" t="s">
        <v>31</v>
      </c>
    </row>
    <row r="292" spans="1:19" x14ac:dyDescent="0.3">
      <c r="A292">
        <v>5303</v>
      </c>
      <c r="B292" t="s">
        <v>39</v>
      </c>
      <c r="C292" t="s">
        <v>23</v>
      </c>
      <c r="D292" t="s">
        <v>129</v>
      </c>
      <c r="E292" t="s">
        <v>132</v>
      </c>
      <c r="F292" t="s">
        <v>288</v>
      </c>
      <c r="G292" t="s">
        <v>27</v>
      </c>
      <c r="H292" s="1" t="s">
        <v>28</v>
      </c>
      <c r="I292" t="s">
        <v>52</v>
      </c>
      <c r="J292">
        <v>285.67</v>
      </c>
      <c r="K292">
        <v>19.45</v>
      </c>
      <c r="L292">
        <v>5555.6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30</v>
      </c>
      <c r="S292" t="s">
        <v>31</v>
      </c>
    </row>
    <row r="293" spans="1:19" x14ac:dyDescent="0.3">
      <c r="A293">
        <v>5304</v>
      </c>
      <c r="B293" t="s">
        <v>42</v>
      </c>
      <c r="C293" t="s">
        <v>23</v>
      </c>
      <c r="D293" t="s">
        <v>43</v>
      </c>
      <c r="E293" t="s">
        <v>300</v>
      </c>
      <c r="F293" t="s">
        <v>288</v>
      </c>
      <c r="G293" t="s">
        <v>27</v>
      </c>
      <c r="H293" s="1" t="s">
        <v>28</v>
      </c>
      <c r="I293" t="s">
        <v>29</v>
      </c>
      <c r="J293">
        <v>1</v>
      </c>
      <c r="K293">
        <v>5523.81</v>
      </c>
      <c r="L293">
        <v>5523.81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30</v>
      </c>
      <c r="S293" t="s">
        <v>31</v>
      </c>
    </row>
    <row r="294" spans="1:19" x14ac:dyDescent="0.3">
      <c r="A294">
        <v>5305</v>
      </c>
      <c r="B294" t="s">
        <v>39</v>
      </c>
      <c r="C294" t="s">
        <v>23</v>
      </c>
      <c r="D294" t="s">
        <v>50</v>
      </c>
      <c r="E294" t="s">
        <v>311</v>
      </c>
      <c r="F294" t="s">
        <v>288</v>
      </c>
      <c r="G294" t="s">
        <v>27</v>
      </c>
      <c r="H294" s="1" t="s">
        <v>28</v>
      </c>
      <c r="I294" t="s">
        <v>52</v>
      </c>
      <c r="J294">
        <v>235.13</v>
      </c>
      <c r="K294">
        <v>22.87</v>
      </c>
      <c r="L294">
        <v>5376.74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30</v>
      </c>
      <c r="S294" t="s">
        <v>31</v>
      </c>
    </row>
    <row r="295" spans="1:19" x14ac:dyDescent="0.3">
      <c r="A295">
        <v>5306</v>
      </c>
      <c r="B295" t="s">
        <v>39</v>
      </c>
      <c r="C295" t="s">
        <v>23</v>
      </c>
      <c r="D295" t="s">
        <v>54</v>
      </c>
      <c r="E295" t="s">
        <v>134</v>
      </c>
      <c r="F295" t="s">
        <v>288</v>
      </c>
      <c r="G295" t="s">
        <v>27</v>
      </c>
      <c r="H295" s="1" t="s">
        <v>28</v>
      </c>
      <c r="I295" t="s">
        <v>35</v>
      </c>
      <c r="J295">
        <v>2</v>
      </c>
      <c r="K295">
        <v>2666.67</v>
      </c>
      <c r="L295">
        <v>5333.33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30</v>
      </c>
      <c r="S295" t="s">
        <v>31</v>
      </c>
    </row>
    <row r="296" spans="1:19" x14ac:dyDescent="0.3">
      <c r="A296">
        <v>5307</v>
      </c>
      <c r="B296" t="s">
        <v>39</v>
      </c>
      <c r="C296" t="s">
        <v>23</v>
      </c>
      <c r="D296" t="s">
        <v>129</v>
      </c>
      <c r="E296" t="s">
        <v>153</v>
      </c>
      <c r="F296" t="s">
        <v>288</v>
      </c>
      <c r="G296" t="s">
        <v>27</v>
      </c>
      <c r="H296" s="1" t="s">
        <v>28</v>
      </c>
      <c r="I296" t="s">
        <v>52</v>
      </c>
      <c r="J296">
        <v>381</v>
      </c>
      <c r="K296">
        <v>13.44</v>
      </c>
      <c r="L296">
        <v>5119.01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30</v>
      </c>
      <c r="S296" t="s">
        <v>31</v>
      </c>
    </row>
    <row r="297" spans="1:19" x14ac:dyDescent="0.3">
      <c r="A297">
        <v>5308</v>
      </c>
      <c r="B297" t="s">
        <v>39</v>
      </c>
      <c r="C297" t="s">
        <v>23</v>
      </c>
      <c r="D297" t="s">
        <v>125</v>
      </c>
      <c r="E297" t="s">
        <v>142</v>
      </c>
      <c r="F297" t="s">
        <v>288</v>
      </c>
      <c r="G297" t="s">
        <v>27</v>
      </c>
      <c r="H297" s="1" t="s">
        <v>28</v>
      </c>
      <c r="I297" t="s">
        <v>52</v>
      </c>
      <c r="J297">
        <v>42.17</v>
      </c>
      <c r="K297">
        <v>115.24</v>
      </c>
      <c r="L297">
        <v>4859.59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30</v>
      </c>
      <c r="S297" t="s">
        <v>31</v>
      </c>
    </row>
    <row r="298" spans="1:19" x14ac:dyDescent="0.3">
      <c r="A298">
        <v>5309</v>
      </c>
      <c r="B298" t="s">
        <v>39</v>
      </c>
      <c r="C298" t="s">
        <v>23</v>
      </c>
      <c r="D298" t="s">
        <v>212</v>
      </c>
      <c r="E298" t="s">
        <v>312</v>
      </c>
      <c r="F298" t="s">
        <v>288</v>
      </c>
      <c r="G298" t="s">
        <v>27</v>
      </c>
      <c r="H298" s="1" t="s">
        <v>28</v>
      </c>
      <c r="I298" t="s">
        <v>121</v>
      </c>
      <c r="J298">
        <v>20.25</v>
      </c>
      <c r="K298">
        <v>238.1</v>
      </c>
      <c r="L298">
        <v>4821.43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30</v>
      </c>
      <c r="S298" t="s">
        <v>31</v>
      </c>
    </row>
    <row r="299" spans="1:19" x14ac:dyDescent="0.3">
      <c r="A299">
        <v>5310</v>
      </c>
      <c r="B299" t="s">
        <v>39</v>
      </c>
      <c r="C299" t="s">
        <v>23</v>
      </c>
      <c r="D299" t="s">
        <v>212</v>
      </c>
      <c r="E299" t="s">
        <v>145</v>
      </c>
      <c r="F299" t="s">
        <v>288</v>
      </c>
      <c r="G299" t="s">
        <v>27</v>
      </c>
      <c r="H299" s="1" t="s">
        <v>28</v>
      </c>
      <c r="I299" t="s">
        <v>121</v>
      </c>
      <c r="J299">
        <v>219.63</v>
      </c>
      <c r="K299">
        <v>21.74</v>
      </c>
      <c r="L299">
        <v>4775.3599999999997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30</v>
      </c>
      <c r="S299" t="s">
        <v>31</v>
      </c>
    </row>
    <row r="300" spans="1:19" x14ac:dyDescent="0.3">
      <c r="A300">
        <v>5311</v>
      </c>
      <c r="B300" t="s">
        <v>39</v>
      </c>
      <c r="C300" t="s">
        <v>23</v>
      </c>
      <c r="D300" t="s">
        <v>146</v>
      </c>
      <c r="E300" t="s">
        <v>313</v>
      </c>
      <c r="F300" t="s">
        <v>288</v>
      </c>
      <c r="G300" t="s">
        <v>27</v>
      </c>
      <c r="H300" s="1" t="s">
        <v>28</v>
      </c>
      <c r="I300" t="s">
        <v>35</v>
      </c>
      <c r="J300">
        <v>36</v>
      </c>
      <c r="K300">
        <v>128.57</v>
      </c>
      <c r="L300">
        <v>4628.57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30</v>
      </c>
      <c r="S300" t="s">
        <v>31</v>
      </c>
    </row>
    <row r="301" spans="1:19" x14ac:dyDescent="0.3">
      <c r="A301">
        <v>5312</v>
      </c>
      <c r="B301" t="s">
        <v>32</v>
      </c>
      <c r="C301" t="s">
        <v>23</v>
      </c>
      <c r="D301" t="s">
        <v>215</v>
      </c>
      <c r="E301" t="s">
        <v>314</v>
      </c>
      <c r="F301" t="s">
        <v>288</v>
      </c>
      <c r="G301" t="s">
        <v>27</v>
      </c>
      <c r="H301" s="1" t="s">
        <v>28</v>
      </c>
      <c r="I301" t="s">
        <v>29</v>
      </c>
      <c r="J301">
        <v>1</v>
      </c>
      <c r="K301">
        <v>3500</v>
      </c>
      <c r="L301">
        <v>3500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30</v>
      </c>
      <c r="S301" t="s">
        <v>31</v>
      </c>
    </row>
    <row r="302" spans="1:19" x14ac:dyDescent="0.3">
      <c r="A302">
        <v>5313</v>
      </c>
      <c r="B302" t="s">
        <v>39</v>
      </c>
      <c r="C302" t="s">
        <v>23</v>
      </c>
      <c r="D302" t="s">
        <v>50</v>
      </c>
      <c r="E302" t="s">
        <v>162</v>
      </c>
      <c r="F302" t="s">
        <v>288</v>
      </c>
      <c r="G302" t="s">
        <v>27</v>
      </c>
      <c r="H302" s="1" t="s">
        <v>28</v>
      </c>
      <c r="I302" t="s">
        <v>52</v>
      </c>
      <c r="J302">
        <v>357</v>
      </c>
      <c r="K302">
        <v>9.7200000000000006</v>
      </c>
      <c r="L302">
        <v>3471.4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</v>
      </c>
      <c r="S302" t="s">
        <v>31</v>
      </c>
    </row>
    <row r="303" spans="1:19" x14ac:dyDescent="0.3">
      <c r="A303">
        <v>5314</v>
      </c>
      <c r="B303" t="s">
        <v>39</v>
      </c>
      <c r="C303" t="s">
        <v>23</v>
      </c>
      <c r="D303" t="s">
        <v>98</v>
      </c>
      <c r="E303" t="s">
        <v>315</v>
      </c>
      <c r="F303" t="s">
        <v>288</v>
      </c>
      <c r="G303" t="s">
        <v>27</v>
      </c>
      <c r="H303" s="1" t="s">
        <v>28</v>
      </c>
      <c r="I303" t="s">
        <v>29</v>
      </c>
      <c r="J303">
        <v>1</v>
      </c>
      <c r="K303">
        <v>3342.86</v>
      </c>
      <c r="L303">
        <v>3342.86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30</v>
      </c>
      <c r="S303" t="s">
        <v>31</v>
      </c>
    </row>
    <row r="304" spans="1:19" x14ac:dyDescent="0.3">
      <c r="A304">
        <v>5315</v>
      </c>
      <c r="B304" t="s">
        <v>39</v>
      </c>
      <c r="C304" t="s">
        <v>23</v>
      </c>
      <c r="D304" t="s">
        <v>50</v>
      </c>
      <c r="E304" t="s">
        <v>316</v>
      </c>
      <c r="F304" t="s">
        <v>288</v>
      </c>
      <c r="G304" t="s">
        <v>27</v>
      </c>
      <c r="H304" s="1" t="s">
        <v>28</v>
      </c>
      <c r="I304" t="s">
        <v>52</v>
      </c>
      <c r="J304">
        <v>88.27</v>
      </c>
      <c r="K304">
        <v>34.909999999999997</v>
      </c>
      <c r="L304">
        <v>3081.94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30</v>
      </c>
      <c r="S304" t="s">
        <v>31</v>
      </c>
    </row>
    <row r="305" spans="1:19" x14ac:dyDescent="0.3">
      <c r="A305">
        <v>5316</v>
      </c>
      <c r="B305" t="s">
        <v>39</v>
      </c>
      <c r="C305" t="s">
        <v>23</v>
      </c>
      <c r="D305" t="s">
        <v>98</v>
      </c>
      <c r="E305" t="s">
        <v>317</v>
      </c>
      <c r="F305" t="s">
        <v>288</v>
      </c>
      <c r="G305" t="s">
        <v>27</v>
      </c>
      <c r="H305" s="1" t="s">
        <v>28</v>
      </c>
      <c r="I305" t="s">
        <v>74</v>
      </c>
      <c r="J305">
        <v>611.20000000000005</v>
      </c>
      <c r="K305">
        <v>5.01</v>
      </c>
      <c r="L305">
        <v>3063.57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30</v>
      </c>
      <c r="S305" t="s">
        <v>31</v>
      </c>
    </row>
    <row r="306" spans="1:19" x14ac:dyDescent="0.3">
      <c r="A306">
        <v>5317</v>
      </c>
      <c r="B306" t="s">
        <v>36</v>
      </c>
      <c r="C306" t="s">
        <v>23</v>
      </c>
      <c r="D306" t="s">
        <v>36</v>
      </c>
      <c r="E306" t="s">
        <v>100</v>
      </c>
      <c r="F306" t="s">
        <v>288</v>
      </c>
      <c r="G306" t="s">
        <v>27</v>
      </c>
      <c r="H306" s="1" t="s">
        <v>28</v>
      </c>
      <c r="I306" t="s">
        <v>35</v>
      </c>
      <c r="J306">
        <v>3</v>
      </c>
      <c r="K306">
        <v>904.76</v>
      </c>
      <c r="L306">
        <v>2714.29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30</v>
      </c>
      <c r="S306" t="s">
        <v>31</v>
      </c>
    </row>
    <row r="307" spans="1:19" x14ac:dyDescent="0.3">
      <c r="A307">
        <v>5318</v>
      </c>
      <c r="B307" t="s">
        <v>39</v>
      </c>
      <c r="C307" t="s">
        <v>23</v>
      </c>
      <c r="D307" t="s">
        <v>125</v>
      </c>
      <c r="E307" t="s">
        <v>178</v>
      </c>
      <c r="F307" t="s">
        <v>288</v>
      </c>
      <c r="G307" t="s">
        <v>27</v>
      </c>
      <c r="H307" s="1" t="s">
        <v>28</v>
      </c>
      <c r="I307" t="s">
        <v>52</v>
      </c>
      <c r="J307">
        <v>24</v>
      </c>
      <c r="K307">
        <v>100</v>
      </c>
      <c r="L307">
        <v>2400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30</v>
      </c>
      <c r="S307" t="s">
        <v>31</v>
      </c>
    </row>
    <row r="308" spans="1:19" x14ac:dyDescent="0.3">
      <c r="A308">
        <v>5319</v>
      </c>
      <c r="B308" t="s">
        <v>39</v>
      </c>
      <c r="C308" t="s">
        <v>23</v>
      </c>
      <c r="D308" t="s">
        <v>129</v>
      </c>
      <c r="E308" t="s">
        <v>141</v>
      </c>
      <c r="F308" t="s">
        <v>288</v>
      </c>
      <c r="G308" t="s">
        <v>27</v>
      </c>
      <c r="H308" s="1" t="s">
        <v>28</v>
      </c>
      <c r="I308" t="s">
        <v>52</v>
      </c>
      <c r="J308">
        <v>87</v>
      </c>
      <c r="K308">
        <v>26.97</v>
      </c>
      <c r="L308">
        <v>2346.5100000000002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30</v>
      </c>
      <c r="S308" t="s">
        <v>31</v>
      </c>
    </row>
    <row r="309" spans="1:19" x14ac:dyDescent="0.3">
      <c r="A309">
        <v>5320</v>
      </c>
      <c r="B309" t="s">
        <v>39</v>
      </c>
      <c r="C309" t="s">
        <v>23</v>
      </c>
      <c r="D309" t="s">
        <v>129</v>
      </c>
      <c r="E309" t="s">
        <v>141</v>
      </c>
      <c r="F309" t="s">
        <v>288</v>
      </c>
      <c r="G309" t="s">
        <v>27</v>
      </c>
      <c r="H309" s="1" t="s">
        <v>28</v>
      </c>
      <c r="I309" t="s">
        <v>52</v>
      </c>
      <c r="J309">
        <v>87</v>
      </c>
      <c r="K309">
        <v>26.97</v>
      </c>
      <c r="L309">
        <v>2346.5100000000002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30</v>
      </c>
      <c r="S309" t="s">
        <v>31</v>
      </c>
    </row>
    <row r="310" spans="1:19" x14ac:dyDescent="0.3">
      <c r="A310">
        <v>5321</v>
      </c>
      <c r="B310" t="s">
        <v>39</v>
      </c>
      <c r="C310" t="s">
        <v>23</v>
      </c>
      <c r="D310" t="s">
        <v>129</v>
      </c>
      <c r="E310" t="s">
        <v>318</v>
      </c>
      <c r="F310" t="s">
        <v>288</v>
      </c>
      <c r="G310" t="s">
        <v>27</v>
      </c>
      <c r="H310" s="1" t="s">
        <v>28</v>
      </c>
      <c r="I310" t="s">
        <v>112</v>
      </c>
      <c r="J310">
        <v>691.2</v>
      </c>
      <c r="K310">
        <v>3.33</v>
      </c>
      <c r="L310">
        <v>2304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</v>
      </c>
      <c r="S310" t="s">
        <v>31</v>
      </c>
    </row>
    <row r="311" spans="1:19" x14ac:dyDescent="0.3">
      <c r="A311">
        <v>5322</v>
      </c>
      <c r="B311" t="s">
        <v>39</v>
      </c>
      <c r="C311" t="s">
        <v>23</v>
      </c>
      <c r="D311" t="s">
        <v>129</v>
      </c>
      <c r="E311" t="s">
        <v>318</v>
      </c>
      <c r="F311" t="s">
        <v>288</v>
      </c>
      <c r="G311" t="s">
        <v>27</v>
      </c>
      <c r="H311" s="1" t="s">
        <v>28</v>
      </c>
      <c r="I311" t="s">
        <v>112</v>
      </c>
      <c r="J311">
        <v>691.2</v>
      </c>
      <c r="K311">
        <v>3.33</v>
      </c>
      <c r="L311">
        <v>2304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30</v>
      </c>
      <c r="S311" t="s">
        <v>31</v>
      </c>
    </row>
    <row r="312" spans="1:19" x14ac:dyDescent="0.3">
      <c r="A312">
        <v>5323</v>
      </c>
      <c r="B312" t="s">
        <v>36</v>
      </c>
      <c r="C312" t="s">
        <v>23</v>
      </c>
      <c r="D312" t="s">
        <v>36</v>
      </c>
      <c r="E312" t="s">
        <v>135</v>
      </c>
      <c r="F312" t="s">
        <v>288</v>
      </c>
      <c r="G312" t="s">
        <v>27</v>
      </c>
      <c r="H312" s="1" t="s">
        <v>28</v>
      </c>
      <c r="I312" t="s">
        <v>35</v>
      </c>
      <c r="J312">
        <v>3</v>
      </c>
      <c r="K312">
        <v>761.9</v>
      </c>
      <c r="L312">
        <v>2285.71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</v>
      </c>
      <c r="S312" t="s">
        <v>31</v>
      </c>
    </row>
    <row r="313" spans="1:19" x14ac:dyDescent="0.3">
      <c r="A313">
        <v>5324</v>
      </c>
      <c r="B313" t="s">
        <v>39</v>
      </c>
      <c r="C313" t="s">
        <v>23</v>
      </c>
      <c r="D313" t="s">
        <v>50</v>
      </c>
      <c r="E313" t="s">
        <v>161</v>
      </c>
      <c r="F313" t="s">
        <v>288</v>
      </c>
      <c r="G313" t="s">
        <v>27</v>
      </c>
      <c r="H313" s="1" t="s">
        <v>28</v>
      </c>
      <c r="I313" t="s">
        <v>52</v>
      </c>
      <c r="J313">
        <v>459.67</v>
      </c>
      <c r="K313">
        <v>4.79</v>
      </c>
      <c r="L313">
        <v>2202.04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30</v>
      </c>
      <c r="S313" t="s">
        <v>31</v>
      </c>
    </row>
    <row r="314" spans="1:19" x14ac:dyDescent="0.3">
      <c r="A314">
        <v>5325</v>
      </c>
      <c r="B314" t="s">
        <v>36</v>
      </c>
      <c r="C314" t="s">
        <v>23</v>
      </c>
      <c r="D314" t="s">
        <v>36</v>
      </c>
      <c r="E314" t="s">
        <v>319</v>
      </c>
      <c r="F314" t="s">
        <v>288</v>
      </c>
      <c r="G314" t="s">
        <v>27</v>
      </c>
      <c r="H314" s="1" t="s">
        <v>28</v>
      </c>
      <c r="I314" t="s">
        <v>35</v>
      </c>
      <c r="J314">
        <v>2</v>
      </c>
      <c r="K314">
        <v>1047.6199999999999</v>
      </c>
      <c r="L314">
        <v>2095.2399999999998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30</v>
      </c>
      <c r="S314" t="s">
        <v>31</v>
      </c>
    </row>
    <row r="315" spans="1:19" x14ac:dyDescent="0.3">
      <c r="A315">
        <v>5326</v>
      </c>
      <c r="B315" t="s">
        <v>39</v>
      </c>
      <c r="C315" t="s">
        <v>23</v>
      </c>
      <c r="D315" t="s">
        <v>98</v>
      </c>
      <c r="E315" t="s">
        <v>320</v>
      </c>
      <c r="F315" t="s">
        <v>288</v>
      </c>
      <c r="G315" t="s">
        <v>27</v>
      </c>
      <c r="H315" s="1" t="s">
        <v>28</v>
      </c>
      <c r="I315" t="s">
        <v>29</v>
      </c>
      <c r="J315">
        <v>1</v>
      </c>
      <c r="K315">
        <v>1969.58</v>
      </c>
      <c r="L315">
        <v>1969.58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30</v>
      </c>
      <c r="S315" t="s">
        <v>31</v>
      </c>
    </row>
    <row r="316" spans="1:19" x14ac:dyDescent="0.3">
      <c r="A316">
        <v>5327</v>
      </c>
      <c r="B316" t="s">
        <v>39</v>
      </c>
      <c r="C316" t="s">
        <v>23</v>
      </c>
      <c r="D316" t="s">
        <v>98</v>
      </c>
      <c r="E316" t="s">
        <v>321</v>
      </c>
      <c r="F316" t="s">
        <v>288</v>
      </c>
      <c r="G316" t="s">
        <v>27</v>
      </c>
      <c r="H316" s="1" t="s">
        <v>28</v>
      </c>
      <c r="I316" t="s">
        <v>121</v>
      </c>
      <c r="J316">
        <v>335.87</v>
      </c>
      <c r="K316">
        <v>5.76</v>
      </c>
      <c r="L316">
        <v>1935.24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30</v>
      </c>
      <c r="S316" t="s">
        <v>31</v>
      </c>
    </row>
    <row r="317" spans="1:19" x14ac:dyDescent="0.3">
      <c r="A317">
        <v>5328</v>
      </c>
      <c r="B317" t="s">
        <v>39</v>
      </c>
      <c r="C317" t="s">
        <v>23</v>
      </c>
      <c r="D317" t="s">
        <v>61</v>
      </c>
      <c r="E317" t="s">
        <v>179</v>
      </c>
      <c r="F317" t="s">
        <v>288</v>
      </c>
      <c r="G317" t="s">
        <v>27</v>
      </c>
      <c r="H317" s="1" t="s">
        <v>28</v>
      </c>
      <c r="I317" t="s">
        <v>35</v>
      </c>
      <c r="J317">
        <v>5</v>
      </c>
      <c r="K317">
        <v>380.95</v>
      </c>
      <c r="L317">
        <v>1904.76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30</v>
      </c>
      <c r="S317" t="s">
        <v>31</v>
      </c>
    </row>
    <row r="318" spans="1:19" x14ac:dyDescent="0.3">
      <c r="A318">
        <v>5329</v>
      </c>
      <c r="B318" t="s">
        <v>36</v>
      </c>
      <c r="C318" t="s">
        <v>23</v>
      </c>
      <c r="D318" t="s">
        <v>36</v>
      </c>
      <c r="E318" t="s">
        <v>322</v>
      </c>
      <c r="F318" t="s">
        <v>288</v>
      </c>
      <c r="G318" t="s">
        <v>27</v>
      </c>
      <c r="H318" s="1" t="s">
        <v>28</v>
      </c>
      <c r="I318" t="s">
        <v>35</v>
      </c>
      <c r="J318">
        <v>1</v>
      </c>
      <c r="K318">
        <v>1904.76</v>
      </c>
      <c r="L318">
        <v>1904.76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30</v>
      </c>
      <c r="S318" t="s">
        <v>31</v>
      </c>
    </row>
    <row r="319" spans="1:19" x14ac:dyDescent="0.3">
      <c r="A319">
        <v>5330</v>
      </c>
      <c r="B319" t="s">
        <v>39</v>
      </c>
      <c r="C319" t="s">
        <v>23</v>
      </c>
      <c r="D319" t="s">
        <v>155</v>
      </c>
      <c r="E319" t="s">
        <v>157</v>
      </c>
      <c r="F319" t="s">
        <v>288</v>
      </c>
      <c r="G319" t="s">
        <v>27</v>
      </c>
      <c r="H319" s="1" t="s">
        <v>28</v>
      </c>
      <c r="I319" t="s">
        <v>29</v>
      </c>
      <c r="J319">
        <v>1</v>
      </c>
      <c r="K319">
        <v>1765.71</v>
      </c>
      <c r="L319">
        <v>1765.71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30</v>
      </c>
      <c r="S319" t="s">
        <v>31</v>
      </c>
    </row>
    <row r="320" spans="1:19" x14ac:dyDescent="0.3">
      <c r="A320">
        <v>5331</v>
      </c>
      <c r="B320" t="s">
        <v>39</v>
      </c>
      <c r="C320" t="s">
        <v>23</v>
      </c>
      <c r="D320" t="s">
        <v>50</v>
      </c>
      <c r="E320" t="s">
        <v>162</v>
      </c>
      <c r="F320" t="s">
        <v>288</v>
      </c>
      <c r="G320" t="s">
        <v>27</v>
      </c>
      <c r="H320" s="1" t="s">
        <v>28</v>
      </c>
      <c r="I320" t="s">
        <v>52</v>
      </c>
      <c r="J320">
        <v>285.67</v>
      </c>
      <c r="K320">
        <v>5.46</v>
      </c>
      <c r="L320">
        <v>1558.94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30</v>
      </c>
      <c r="S320" t="s">
        <v>31</v>
      </c>
    </row>
    <row r="321" spans="1:19" x14ac:dyDescent="0.3">
      <c r="A321">
        <v>5332</v>
      </c>
      <c r="B321" t="s">
        <v>39</v>
      </c>
      <c r="C321" t="s">
        <v>23</v>
      </c>
      <c r="D321" t="s">
        <v>50</v>
      </c>
      <c r="E321" t="s">
        <v>168</v>
      </c>
      <c r="F321" t="s">
        <v>288</v>
      </c>
      <c r="G321" t="s">
        <v>27</v>
      </c>
      <c r="H321" s="1" t="s">
        <v>28</v>
      </c>
      <c r="I321" t="s">
        <v>74</v>
      </c>
      <c r="J321">
        <v>231</v>
      </c>
      <c r="K321">
        <v>6.5</v>
      </c>
      <c r="L321">
        <v>1500.4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</v>
      </c>
      <c r="S321" t="s">
        <v>31</v>
      </c>
    </row>
    <row r="322" spans="1:19" x14ac:dyDescent="0.3">
      <c r="A322">
        <v>5333</v>
      </c>
      <c r="B322" t="s">
        <v>39</v>
      </c>
      <c r="C322" t="s">
        <v>23</v>
      </c>
      <c r="D322" t="s">
        <v>50</v>
      </c>
      <c r="E322" t="s">
        <v>323</v>
      </c>
      <c r="F322" t="s">
        <v>288</v>
      </c>
      <c r="G322" t="s">
        <v>27</v>
      </c>
      <c r="H322" s="1" t="s">
        <v>28</v>
      </c>
      <c r="I322" t="s">
        <v>52</v>
      </c>
      <c r="J322">
        <v>198.88</v>
      </c>
      <c r="K322">
        <v>7.3</v>
      </c>
      <c r="L322">
        <v>1452.79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30</v>
      </c>
      <c r="S322" t="s">
        <v>31</v>
      </c>
    </row>
    <row r="323" spans="1:19" x14ac:dyDescent="0.3">
      <c r="A323">
        <v>5334</v>
      </c>
      <c r="B323" t="s">
        <v>39</v>
      </c>
      <c r="C323" t="s">
        <v>23</v>
      </c>
      <c r="D323" t="s">
        <v>125</v>
      </c>
      <c r="E323" t="s">
        <v>324</v>
      </c>
      <c r="F323" t="s">
        <v>288</v>
      </c>
      <c r="G323" t="s">
        <v>27</v>
      </c>
      <c r="H323" s="1" t="s">
        <v>28</v>
      </c>
      <c r="I323" t="s">
        <v>35</v>
      </c>
      <c r="J323">
        <v>3</v>
      </c>
      <c r="K323">
        <v>469.3</v>
      </c>
      <c r="L323">
        <v>1407.91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</v>
      </c>
      <c r="S323" t="s">
        <v>31</v>
      </c>
    </row>
    <row r="324" spans="1:19" x14ac:dyDescent="0.3">
      <c r="A324">
        <v>5335</v>
      </c>
      <c r="B324" t="s">
        <v>39</v>
      </c>
      <c r="C324" t="s">
        <v>23</v>
      </c>
      <c r="D324" t="s">
        <v>98</v>
      </c>
      <c r="E324" t="s">
        <v>325</v>
      </c>
      <c r="F324" t="s">
        <v>288</v>
      </c>
      <c r="G324" t="s">
        <v>27</v>
      </c>
      <c r="H324" s="1" t="s">
        <v>28</v>
      </c>
      <c r="I324" t="s">
        <v>52</v>
      </c>
      <c r="J324">
        <v>270</v>
      </c>
      <c r="K324">
        <v>5.19</v>
      </c>
      <c r="L324">
        <v>1401.43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30</v>
      </c>
      <c r="S324" t="s">
        <v>31</v>
      </c>
    </row>
    <row r="325" spans="1:19" x14ac:dyDescent="0.3">
      <c r="A325">
        <v>5336</v>
      </c>
      <c r="B325" t="s">
        <v>39</v>
      </c>
      <c r="C325" t="s">
        <v>23</v>
      </c>
      <c r="D325" t="s">
        <v>98</v>
      </c>
      <c r="E325" t="s">
        <v>325</v>
      </c>
      <c r="F325" t="s">
        <v>288</v>
      </c>
      <c r="G325" t="s">
        <v>27</v>
      </c>
      <c r="H325" s="1" t="s">
        <v>28</v>
      </c>
      <c r="I325" t="s">
        <v>52</v>
      </c>
      <c r="J325">
        <v>270</v>
      </c>
      <c r="K325">
        <v>5.19</v>
      </c>
      <c r="L325">
        <v>1401.43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30</v>
      </c>
      <c r="S325" t="s">
        <v>31</v>
      </c>
    </row>
    <row r="326" spans="1:19" x14ac:dyDescent="0.3">
      <c r="A326">
        <v>5337</v>
      </c>
      <c r="B326" t="s">
        <v>39</v>
      </c>
      <c r="C326" t="s">
        <v>23</v>
      </c>
      <c r="D326" t="s">
        <v>129</v>
      </c>
      <c r="E326" t="s">
        <v>326</v>
      </c>
      <c r="F326" t="s">
        <v>288</v>
      </c>
      <c r="G326" t="s">
        <v>27</v>
      </c>
      <c r="H326" s="1" t="s">
        <v>28</v>
      </c>
      <c r="I326" t="s">
        <v>29</v>
      </c>
      <c r="J326">
        <v>1</v>
      </c>
      <c r="K326">
        <v>1386.67</v>
      </c>
      <c r="L326">
        <v>1386.67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30</v>
      </c>
      <c r="S326" t="s">
        <v>31</v>
      </c>
    </row>
    <row r="327" spans="1:19" x14ac:dyDescent="0.3">
      <c r="A327">
        <v>5338</v>
      </c>
      <c r="B327" t="s">
        <v>39</v>
      </c>
      <c r="C327" t="s">
        <v>23</v>
      </c>
      <c r="D327" t="s">
        <v>155</v>
      </c>
      <c r="E327" t="s">
        <v>165</v>
      </c>
      <c r="F327" t="s">
        <v>288</v>
      </c>
      <c r="G327" t="s">
        <v>27</v>
      </c>
      <c r="H327" s="1" t="s">
        <v>28</v>
      </c>
      <c r="I327" t="s">
        <v>35</v>
      </c>
      <c r="J327">
        <v>2</v>
      </c>
      <c r="K327">
        <v>654.29</v>
      </c>
      <c r="L327">
        <v>1308.57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30</v>
      </c>
      <c r="S327" t="s">
        <v>31</v>
      </c>
    </row>
    <row r="328" spans="1:19" x14ac:dyDescent="0.3">
      <c r="A328">
        <v>5339</v>
      </c>
      <c r="B328" t="s">
        <v>39</v>
      </c>
      <c r="C328" t="s">
        <v>23</v>
      </c>
      <c r="D328" t="s">
        <v>125</v>
      </c>
      <c r="E328" t="s">
        <v>178</v>
      </c>
      <c r="F328" t="s">
        <v>288</v>
      </c>
      <c r="G328" t="s">
        <v>27</v>
      </c>
      <c r="H328" s="1" t="s">
        <v>28</v>
      </c>
      <c r="I328" t="s">
        <v>52</v>
      </c>
      <c r="J328">
        <v>12</v>
      </c>
      <c r="K328">
        <v>100</v>
      </c>
      <c r="L328">
        <v>1200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30</v>
      </c>
      <c r="S328" t="s">
        <v>31</v>
      </c>
    </row>
    <row r="329" spans="1:19" x14ac:dyDescent="0.3">
      <c r="A329">
        <v>5340</v>
      </c>
      <c r="B329" t="s">
        <v>39</v>
      </c>
      <c r="C329" t="s">
        <v>23</v>
      </c>
      <c r="D329" t="s">
        <v>54</v>
      </c>
      <c r="E329" t="s">
        <v>160</v>
      </c>
      <c r="F329" t="s">
        <v>288</v>
      </c>
      <c r="G329" t="s">
        <v>27</v>
      </c>
      <c r="H329" s="1" t="s">
        <v>28</v>
      </c>
      <c r="I329" t="s">
        <v>74</v>
      </c>
      <c r="J329">
        <v>60</v>
      </c>
      <c r="K329">
        <v>20</v>
      </c>
      <c r="L329">
        <v>1200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30</v>
      </c>
      <c r="S329" t="s">
        <v>31</v>
      </c>
    </row>
    <row r="330" spans="1:19" x14ac:dyDescent="0.3">
      <c r="A330">
        <v>5341</v>
      </c>
      <c r="B330" t="s">
        <v>39</v>
      </c>
      <c r="C330" t="s">
        <v>23</v>
      </c>
      <c r="D330" t="s">
        <v>146</v>
      </c>
      <c r="E330" t="s">
        <v>151</v>
      </c>
      <c r="F330" t="s">
        <v>288</v>
      </c>
      <c r="G330" t="s">
        <v>27</v>
      </c>
      <c r="H330" s="1" t="s">
        <v>28</v>
      </c>
      <c r="I330" t="s">
        <v>35</v>
      </c>
      <c r="J330">
        <v>5</v>
      </c>
      <c r="K330">
        <v>230.55</v>
      </c>
      <c r="L330">
        <v>1152.76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30</v>
      </c>
      <c r="S330" t="s">
        <v>31</v>
      </c>
    </row>
    <row r="331" spans="1:19" x14ac:dyDescent="0.3">
      <c r="A331">
        <v>5342</v>
      </c>
      <c r="B331" t="s">
        <v>39</v>
      </c>
      <c r="C331" t="s">
        <v>23</v>
      </c>
      <c r="D331" t="s">
        <v>129</v>
      </c>
      <c r="E331" t="s">
        <v>174</v>
      </c>
      <c r="F331" t="s">
        <v>288</v>
      </c>
      <c r="G331" t="s">
        <v>27</v>
      </c>
      <c r="H331" s="1" t="s">
        <v>28</v>
      </c>
      <c r="I331" t="s">
        <v>74</v>
      </c>
      <c r="J331">
        <v>19</v>
      </c>
      <c r="K331">
        <v>57.77</v>
      </c>
      <c r="L331">
        <v>1097.6099999999999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30</v>
      </c>
      <c r="S331" t="s">
        <v>31</v>
      </c>
    </row>
    <row r="332" spans="1:19" x14ac:dyDescent="0.3">
      <c r="A332">
        <v>5343</v>
      </c>
      <c r="B332" t="s">
        <v>39</v>
      </c>
      <c r="C332" t="s">
        <v>23</v>
      </c>
      <c r="D332" t="s">
        <v>79</v>
      </c>
      <c r="E332" t="s">
        <v>327</v>
      </c>
      <c r="F332" t="s">
        <v>288</v>
      </c>
      <c r="G332" t="s">
        <v>27</v>
      </c>
      <c r="H332" s="1" t="s">
        <v>28</v>
      </c>
      <c r="I332" t="s">
        <v>177</v>
      </c>
      <c r="J332">
        <v>2</v>
      </c>
      <c r="K332">
        <v>538.1</v>
      </c>
      <c r="L332">
        <v>1076.19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30</v>
      </c>
      <c r="S332" t="s">
        <v>31</v>
      </c>
    </row>
    <row r="333" spans="1:19" x14ac:dyDescent="0.3">
      <c r="A333">
        <v>5344</v>
      </c>
      <c r="B333" t="s">
        <v>39</v>
      </c>
      <c r="C333" t="s">
        <v>23</v>
      </c>
      <c r="D333" t="s">
        <v>50</v>
      </c>
      <c r="E333" t="s">
        <v>168</v>
      </c>
      <c r="F333" t="s">
        <v>288</v>
      </c>
      <c r="G333" t="s">
        <v>27</v>
      </c>
      <c r="H333" s="1" t="s">
        <v>28</v>
      </c>
      <c r="I333" t="s">
        <v>74</v>
      </c>
      <c r="J333">
        <v>165</v>
      </c>
      <c r="K333">
        <v>6.5</v>
      </c>
      <c r="L333">
        <v>1071.71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30</v>
      </c>
      <c r="S333" t="s">
        <v>31</v>
      </c>
    </row>
    <row r="334" spans="1:19" x14ac:dyDescent="0.3">
      <c r="A334">
        <v>5345</v>
      </c>
      <c r="B334" t="s">
        <v>39</v>
      </c>
      <c r="C334" t="s">
        <v>23</v>
      </c>
      <c r="D334" t="s">
        <v>54</v>
      </c>
      <c r="E334" t="s">
        <v>328</v>
      </c>
      <c r="F334" t="s">
        <v>288</v>
      </c>
      <c r="G334" t="s">
        <v>27</v>
      </c>
      <c r="H334" s="1" t="s">
        <v>28</v>
      </c>
      <c r="I334" t="s">
        <v>35</v>
      </c>
      <c r="J334">
        <v>1</v>
      </c>
      <c r="K334">
        <v>1000</v>
      </c>
      <c r="L334">
        <v>1000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30</v>
      </c>
      <c r="S334" t="s">
        <v>31</v>
      </c>
    </row>
    <row r="335" spans="1:19" x14ac:dyDescent="0.3">
      <c r="A335">
        <v>5346</v>
      </c>
      <c r="B335" t="s">
        <v>39</v>
      </c>
      <c r="C335" t="s">
        <v>23</v>
      </c>
      <c r="D335" t="s">
        <v>129</v>
      </c>
      <c r="E335" t="s">
        <v>329</v>
      </c>
      <c r="F335" t="s">
        <v>288</v>
      </c>
      <c r="G335" t="s">
        <v>27</v>
      </c>
      <c r="H335" s="1" t="s">
        <v>28</v>
      </c>
      <c r="I335" t="s">
        <v>29</v>
      </c>
      <c r="J335">
        <v>1</v>
      </c>
      <c r="K335">
        <v>995.24</v>
      </c>
      <c r="L335">
        <v>995.24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30</v>
      </c>
      <c r="S335" t="s">
        <v>31</v>
      </c>
    </row>
    <row r="336" spans="1:19" x14ac:dyDescent="0.3">
      <c r="A336">
        <v>5347</v>
      </c>
      <c r="B336" t="s">
        <v>39</v>
      </c>
      <c r="C336" t="s">
        <v>23</v>
      </c>
      <c r="D336" t="s">
        <v>98</v>
      </c>
      <c r="E336" t="s">
        <v>196</v>
      </c>
      <c r="F336" t="s">
        <v>288</v>
      </c>
      <c r="G336" t="s">
        <v>27</v>
      </c>
      <c r="H336" s="1" t="s">
        <v>28</v>
      </c>
      <c r="I336" t="s">
        <v>29</v>
      </c>
      <c r="J336">
        <v>1</v>
      </c>
      <c r="K336">
        <v>859.58</v>
      </c>
      <c r="L336">
        <v>859.58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30</v>
      </c>
      <c r="S336" t="s">
        <v>31</v>
      </c>
    </row>
    <row r="337" spans="1:19" x14ac:dyDescent="0.3">
      <c r="A337">
        <v>5348</v>
      </c>
      <c r="B337" t="s">
        <v>39</v>
      </c>
      <c r="C337" t="s">
        <v>23</v>
      </c>
      <c r="D337" t="s">
        <v>50</v>
      </c>
      <c r="E337" t="s">
        <v>330</v>
      </c>
      <c r="F337" t="s">
        <v>288</v>
      </c>
      <c r="G337" t="s">
        <v>27</v>
      </c>
      <c r="H337" s="1" t="s">
        <v>28</v>
      </c>
      <c r="I337" t="s">
        <v>52</v>
      </c>
      <c r="J337">
        <v>285.67</v>
      </c>
      <c r="K337">
        <v>2.92</v>
      </c>
      <c r="L337">
        <v>835.24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30</v>
      </c>
      <c r="S337" t="s">
        <v>31</v>
      </c>
    </row>
    <row r="338" spans="1:19" x14ac:dyDescent="0.3">
      <c r="A338">
        <v>5349</v>
      </c>
      <c r="B338" t="s">
        <v>39</v>
      </c>
      <c r="C338" t="s">
        <v>23</v>
      </c>
      <c r="D338" t="s">
        <v>98</v>
      </c>
      <c r="E338" t="s">
        <v>169</v>
      </c>
      <c r="F338" t="s">
        <v>288</v>
      </c>
      <c r="G338" t="s">
        <v>27</v>
      </c>
      <c r="H338" s="1" t="s">
        <v>28</v>
      </c>
      <c r="I338" t="s">
        <v>29</v>
      </c>
      <c r="J338">
        <v>1</v>
      </c>
      <c r="K338">
        <v>771.43</v>
      </c>
      <c r="L338">
        <v>771.43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30</v>
      </c>
      <c r="S338" t="s">
        <v>31</v>
      </c>
    </row>
    <row r="339" spans="1:19" x14ac:dyDescent="0.3">
      <c r="A339">
        <v>5350</v>
      </c>
      <c r="B339" t="s">
        <v>39</v>
      </c>
      <c r="C339" t="s">
        <v>23</v>
      </c>
      <c r="D339" t="s">
        <v>212</v>
      </c>
      <c r="E339" t="s">
        <v>195</v>
      </c>
      <c r="F339" t="s">
        <v>288</v>
      </c>
      <c r="G339" t="s">
        <v>27</v>
      </c>
      <c r="H339" s="1" t="s">
        <v>28</v>
      </c>
      <c r="I339" t="s">
        <v>112</v>
      </c>
      <c r="J339">
        <v>245</v>
      </c>
      <c r="K339">
        <v>2.29</v>
      </c>
      <c r="L339">
        <v>560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30</v>
      </c>
      <c r="S339" t="s">
        <v>31</v>
      </c>
    </row>
    <row r="340" spans="1:19" x14ac:dyDescent="0.3">
      <c r="A340">
        <v>5351</v>
      </c>
      <c r="B340" t="s">
        <v>39</v>
      </c>
      <c r="C340" t="s">
        <v>23</v>
      </c>
      <c r="D340" t="s">
        <v>79</v>
      </c>
      <c r="E340" t="s">
        <v>331</v>
      </c>
      <c r="F340" t="s">
        <v>288</v>
      </c>
      <c r="G340" t="s">
        <v>27</v>
      </c>
      <c r="H340" s="1" t="s">
        <v>28</v>
      </c>
      <c r="I340" t="s">
        <v>177</v>
      </c>
      <c r="J340">
        <v>2</v>
      </c>
      <c r="K340">
        <v>252</v>
      </c>
      <c r="L340">
        <v>504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30</v>
      </c>
      <c r="S340" t="s">
        <v>31</v>
      </c>
    </row>
    <row r="341" spans="1:19" x14ac:dyDescent="0.3">
      <c r="A341">
        <v>5352</v>
      </c>
      <c r="B341" t="s">
        <v>39</v>
      </c>
      <c r="C341" t="s">
        <v>23</v>
      </c>
      <c r="D341" t="s">
        <v>50</v>
      </c>
      <c r="E341" t="s">
        <v>175</v>
      </c>
      <c r="F341" t="s">
        <v>288</v>
      </c>
      <c r="G341" t="s">
        <v>27</v>
      </c>
      <c r="H341" s="1" t="s">
        <v>28</v>
      </c>
      <c r="I341" t="s">
        <v>52</v>
      </c>
      <c r="J341">
        <v>174</v>
      </c>
      <c r="K341">
        <v>2.88</v>
      </c>
      <c r="L341">
        <v>500.46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30</v>
      </c>
      <c r="S341" t="s">
        <v>31</v>
      </c>
    </row>
    <row r="342" spans="1:19" x14ac:dyDescent="0.3">
      <c r="A342">
        <v>5353</v>
      </c>
      <c r="B342" t="s">
        <v>39</v>
      </c>
      <c r="C342" t="s">
        <v>23</v>
      </c>
      <c r="D342" t="s">
        <v>79</v>
      </c>
      <c r="E342" t="s">
        <v>186</v>
      </c>
      <c r="F342" t="s">
        <v>288</v>
      </c>
      <c r="G342" t="s">
        <v>27</v>
      </c>
      <c r="H342" s="1" t="s">
        <v>28</v>
      </c>
      <c r="I342" t="s">
        <v>74</v>
      </c>
      <c r="J342">
        <v>42</v>
      </c>
      <c r="K342">
        <v>10.99</v>
      </c>
      <c r="L342">
        <v>461.7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30</v>
      </c>
      <c r="S342" t="s">
        <v>31</v>
      </c>
    </row>
    <row r="343" spans="1:19" x14ac:dyDescent="0.3">
      <c r="A343">
        <v>5354</v>
      </c>
      <c r="B343" t="s">
        <v>39</v>
      </c>
      <c r="C343" t="s">
        <v>23</v>
      </c>
      <c r="D343" t="s">
        <v>98</v>
      </c>
      <c r="E343" t="s">
        <v>332</v>
      </c>
      <c r="F343" t="s">
        <v>288</v>
      </c>
      <c r="G343" t="s">
        <v>27</v>
      </c>
      <c r="H343" s="1" t="s">
        <v>28</v>
      </c>
      <c r="I343" t="s">
        <v>52</v>
      </c>
      <c r="J343">
        <v>450</v>
      </c>
      <c r="K343">
        <v>0.82</v>
      </c>
      <c r="L343">
        <v>368.57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30</v>
      </c>
      <c r="S343" t="s">
        <v>31</v>
      </c>
    </row>
    <row r="344" spans="1:19" x14ac:dyDescent="0.3">
      <c r="A344">
        <v>5355</v>
      </c>
      <c r="B344" t="s">
        <v>39</v>
      </c>
      <c r="C344" t="s">
        <v>23</v>
      </c>
      <c r="D344" t="s">
        <v>79</v>
      </c>
      <c r="E344" t="s">
        <v>201</v>
      </c>
      <c r="F344" t="s">
        <v>288</v>
      </c>
      <c r="G344" t="s">
        <v>27</v>
      </c>
      <c r="H344" s="1" t="s">
        <v>28</v>
      </c>
      <c r="I344" t="s">
        <v>177</v>
      </c>
      <c r="J344">
        <v>8</v>
      </c>
      <c r="K344">
        <v>43.71</v>
      </c>
      <c r="L344">
        <v>349.71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30</v>
      </c>
      <c r="S344" t="s">
        <v>31</v>
      </c>
    </row>
    <row r="345" spans="1:19" x14ac:dyDescent="0.3">
      <c r="A345">
        <v>5356</v>
      </c>
      <c r="B345" t="s">
        <v>39</v>
      </c>
      <c r="C345" t="s">
        <v>23</v>
      </c>
      <c r="D345" t="s">
        <v>79</v>
      </c>
      <c r="E345" t="s">
        <v>204</v>
      </c>
      <c r="F345" t="s">
        <v>288</v>
      </c>
      <c r="G345" t="s">
        <v>27</v>
      </c>
      <c r="H345" s="1" t="s">
        <v>28</v>
      </c>
      <c r="I345" t="s">
        <v>181</v>
      </c>
      <c r="J345">
        <v>10</v>
      </c>
      <c r="K345">
        <v>34.82</v>
      </c>
      <c r="L345">
        <v>348.24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30</v>
      </c>
      <c r="S345" t="s">
        <v>31</v>
      </c>
    </row>
    <row r="346" spans="1:19" x14ac:dyDescent="0.3">
      <c r="A346">
        <v>5357</v>
      </c>
      <c r="B346" t="s">
        <v>39</v>
      </c>
      <c r="C346" t="s">
        <v>23</v>
      </c>
      <c r="D346" t="s">
        <v>297</v>
      </c>
      <c r="E346" t="s">
        <v>333</v>
      </c>
      <c r="F346" t="s">
        <v>288</v>
      </c>
      <c r="G346" t="s">
        <v>27</v>
      </c>
      <c r="H346" s="1" t="s">
        <v>28</v>
      </c>
      <c r="I346" t="s">
        <v>35</v>
      </c>
      <c r="J346">
        <v>1</v>
      </c>
      <c r="K346">
        <v>342.86</v>
      </c>
      <c r="L346">
        <v>342.86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30</v>
      </c>
      <c r="S346" t="s">
        <v>31</v>
      </c>
    </row>
    <row r="347" spans="1:19" x14ac:dyDescent="0.3">
      <c r="A347">
        <v>5358</v>
      </c>
      <c r="B347" t="s">
        <v>39</v>
      </c>
      <c r="C347" t="s">
        <v>23</v>
      </c>
      <c r="D347" t="s">
        <v>79</v>
      </c>
      <c r="E347" t="s">
        <v>200</v>
      </c>
      <c r="F347" t="s">
        <v>288</v>
      </c>
      <c r="G347" t="s">
        <v>27</v>
      </c>
      <c r="H347" s="1" t="s">
        <v>28</v>
      </c>
      <c r="I347" t="s">
        <v>74</v>
      </c>
      <c r="J347">
        <v>42</v>
      </c>
      <c r="K347">
        <v>7.78</v>
      </c>
      <c r="L347">
        <v>326.8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30</v>
      </c>
      <c r="S347" t="s">
        <v>31</v>
      </c>
    </row>
    <row r="348" spans="1:19" x14ac:dyDescent="0.3">
      <c r="A348">
        <v>5359</v>
      </c>
      <c r="B348" t="s">
        <v>39</v>
      </c>
      <c r="C348" t="s">
        <v>23</v>
      </c>
      <c r="D348" t="s">
        <v>79</v>
      </c>
      <c r="E348" t="s">
        <v>189</v>
      </c>
      <c r="F348" t="s">
        <v>288</v>
      </c>
      <c r="G348" t="s">
        <v>27</v>
      </c>
      <c r="H348" s="1" t="s">
        <v>28</v>
      </c>
      <c r="I348" t="s">
        <v>74</v>
      </c>
      <c r="J348">
        <v>52</v>
      </c>
      <c r="K348">
        <v>6.22</v>
      </c>
      <c r="L348">
        <v>323.22000000000003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30</v>
      </c>
      <c r="S348" t="s">
        <v>31</v>
      </c>
    </row>
    <row r="349" spans="1:19" x14ac:dyDescent="0.3">
      <c r="A349">
        <v>5360</v>
      </c>
      <c r="B349" t="s">
        <v>39</v>
      </c>
      <c r="C349" t="s">
        <v>23</v>
      </c>
      <c r="D349" t="s">
        <v>129</v>
      </c>
      <c r="E349" t="s">
        <v>199</v>
      </c>
      <c r="F349" t="s">
        <v>288</v>
      </c>
      <c r="G349" t="s">
        <v>27</v>
      </c>
      <c r="H349" s="1" t="s">
        <v>28</v>
      </c>
      <c r="I349" t="s">
        <v>74</v>
      </c>
      <c r="J349">
        <v>24</v>
      </c>
      <c r="K349">
        <v>13.38</v>
      </c>
      <c r="L349">
        <v>321.14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30</v>
      </c>
      <c r="S349" t="s">
        <v>31</v>
      </c>
    </row>
    <row r="350" spans="1:19" x14ac:dyDescent="0.3">
      <c r="A350">
        <v>5361</v>
      </c>
      <c r="B350" t="s">
        <v>39</v>
      </c>
      <c r="C350" t="s">
        <v>23</v>
      </c>
      <c r="D350" t="s">
        <v>79</v>
      </c>
      <c r="E350" t="s">
        <v>180</v>
      </c>
      <c r="F350" t="s">
        <v>288</v>
      </c>
      <c r="G350" t="s">
        <v>27</v>
      </c>
      <c r="H350" s="1" t="s">
        <v>28</v>
      </c>
      <c r="I350" t="s">
        <v>181</v>
      </c>
      <c r="J350">
        <v>8</v>
      </c>
      <c r="K350">
        <v>32.76</v>
      </c>
      <c r="L350">
        <v>262.08999999999997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30</v>
      </c>
      <c r="S350" t="s">
        <v>31</v>
      </c>
    </row>
    <row r="351" spans="1:19" x14ac:dyDescent="0.3">
      <c r="A351">
        <v>5362</v>
      </c>
      <c r="B351" t="s">
        <v>39</v>
      </c>
      <c r="C351" t="s">
        <v>23</v>
      </c>
      <c r="D351" t="s">
        <v>79</v>
      </c>
      <c r="E351" t="s">
        <v>203</v>
      </c>
      <c r="F351" t="s">
        <v>288</v>
      </c>
      <c r="G351" t="s">
        <v>27</v>
      </c>
      <c r="H351" s="1" t="s">
        <v>28</v>
      </c>
      <c r="I351" t="s">
        <v>181</v>
      </c>
      <c r="J351">
        <v>3</v>
      </c>
      <c r="K351">
        <v>28.03</v>
      </c>
      <c r="L351">
        <v>84.09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30</v>
      </c>
      <c r="S351" t="s">
        <v>31</v>
      </c>
    </row>
    <row r="352" spans="1:19" x14ac:dyDescent="0.3">
      <c r="A352">
        <v>5363</v>
      </c>
      <c r="B352" t="s">
        <v>39</v>
      </c>
      <c r="C352" t="s">
        <v>23</v>
      </c>
      <c r="D352" t="s">
        <v>212</v>
      </c>
      <c r="E352" t="s">
        <v>334</v>
      </c>
      <c r="F352" t="s">
        <v>335</v>
      </c>
      <c r="G352" t="s">
        <v>27</v>
      </c>
      <c r="H352" s="1" t="s">
        <v>28</v>
      </c>
      <c r="I352" t="s">
        <v>112</v>
      </c>
      <c r="J352">
        <v>85600</v>
      </c>
      <c r="K352">
        <v>3.33</v>
      </c>
      <c r="L352">
        <v>285333.33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</v>
      </c>
      <c r="S352" t="s">
        <v>31</v>
      </c>
    </row>
    <row r="353" spans="1:19" x14ac:dyDescent="0.3">
      <c r="A353">
        <v>5364</v>
      </c>
      <c r="B353" t="s">
        <v>39</v>
      </c>
      <c r="C353" t="s">
        <v>23</v>
      </c>
      <c r="D353" t="s">
        <v>212</v>
      </c>
      <c r="E353" t="s">
        <v>336</v>
      </c>
      <c r="F353" t="s">
        <v>335</v>
      </c>
      <c r="G353" t="s">
        <v>27</v>
      </c>
      <c r="H353" s="1" t="s">
        <v>28</v>
      </c>
      <c r="I353" t="s">
        <v>121</v>
      </c>
      <c r="J353">
        <v>428</v>
      </c>
      <c r="K353">
        <v>230.48</v>
      </c>
      <c r="L353">
        <v>98643.81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30</v>
      </c>
      <c r="S353" t="s">
        <v>31</v>
      </c>
    </row>
    <row r="354" spans="1:19" x14ac:dyDescent="0.3">
      <c r="A354">
        <v>5365</v>
      </c>
      <c r="B354" t="s">
        <v>39</v>
      </c>
      <c r="C354" t="s">
        <v>23</v>
      </c>
      <c r="D354" t="s">
        <v>212</v>
      </c>
      <c r="E354" t="s">
        <v>337</v>
      </c>
      <c r="F354" t="s">
        <v>335</v>
      </c>
      <c r="G354" t="s">
        <v>27</v>
      </c>
      <c r="H354" s="1" t="s">
        <v>28</v>
      </c>
      <c r="I354" t="s">
        <v>121</v>
      </c>
      <c r="J354">
        <v>230.58</v>
      </c>
      <c r="K354">
        <v>278.10000000000002</v>
      </c>
      <c r="L354">
        <v>64123.199999999997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30</v>
      </c>
      <c r="S354" t="s">
        <v>31</v>
      </c>
    </row>
    <row r="355" spans="1:19" x14ac:dyDescent="0.3">
      <c r="A355">
        <v>5366</v>
      </c>
      <c r="B355" t="s">
        <v>39</v>
      </c>
      <c r="C355" t="s">
        <v>23</v>
      </c>
      <c r="D355" t="s">
        <v>212</v>
      </c>
      <c r="E355" t="s">
        <v>120</v>
      </c>
      <c r="F355" t="s">
        <v>335</v>
      </c>
      <c r="G355" t="s">
        <v>27</v>
      </c>
      <c r="H355" s="1" t="s">
        <v>28</v>
      </c>
      <c r="I355" t="s">
        <v>121</v>
      </c>
      <c r="J355">
        <v>228.51</v>
      </c>
      <c r="K355">
        <v>278.10000000000002</v>
      </c>
      <c r="L355">
        <v>63547.54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30</v>
      </c>
      <c r="S355" t="s">
        <v>31</v>
      </c>
    </row>
    <row r="356" spans="1:19" x14ac:dyDescent="0.3">
      <c r="A356">
        <v>5367</v>
      </c>
      <c r="B356" t="s">
        <v>219</v>
      </c>
      <c r="C356" t="s">
        <v>23</v>
      </c>
      <c r="D356" t="s">
        <v>338</v>
      </c>
      <c r="E356" t="s">
        <v>223</v>
      </c>
      <c r="F356" t="s">
        <v>335</v>
      </c>
      <c r="G356" t="s">
        <v>27</v>
      </c>
      <c r="H356" s="1" t="s">
        <v>28</v>
      </c>
      <c r="I356" t="s">
        <v>35</v>
      </c>
      <c r="J356">
        <v>1</v>
      </c>
      <c r="K356">
        <v>47619.05</v>
      </c>
      <c r="L356">
        <v>47619.05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30</v>
      </c>
      <c r="S356" t="s">
        <v>31</v>
      </c>
    </row>
    <row r="357" spans="1:19" x14ac:dyDescent="0.3">
      <c r="A357">
        <v>5368</v>
      </c>
      <c r="B357" t="s">
        <v>22</v>
      </c>
      <c r="C357" t="s">
        <v>23</v>
      </c>
      <c r="D357" t="s">
        <v>304</v>
      </c>
      <c r="E357" t="s">
        <v>339</v>
      </c>
      <c r="F357" t="s">
        <v>335</v>
      </c>
      <c r="G357" t="s">
        <v>27</v>
      </c>
      <c r="H357" s="1" t="s">
        <v>28</v>
      </c>
      <c r="I357" t="s">
        <v>35</v>
      </c>
      <c r="J357">
        <v>1</v>
      </c>
      <c r="K357">
        <v>42857.14</v>
      </c>
      <c r="L357">
        <v>42857.14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</v>
      </c>
      <c r="S357" t="s">
        <v>31</v>
      </c>
    </row>
    <row r="358" spans="1:19" x14ac:dyDescent="0.3">
      <c r="A358">
        <v>5369</v>
      </c>
      <c r="B358" t="s">
        <v>39</v>
      </c>
      <c r="C358" t="s">
        <v>23</v>
      </c>
      <c r="D358" t="s">
        <v>340</v>
      </c>
      <c r="E358" t="s">
        <v>341</v>
      </c>
      <c r="F358" t="s">
        <v>335</v>
      </c>
      <c r="G358" t="s">
        <v>27</v>
      </c>
      <c r="H358" s="1" t="s">
        <v>28</v>
      </c>
      <c r="I358" t="s">
        <v>29</v>
      </c>
      <c r="J358">
        <v>4</v>
      </c>
      <c r="K358">
        <v>10476.19</v>
      </c>
      <c r="L358">
        <v>41904.76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</v>
      </c>
      <c r="S358" t="s">
        <v>31</v>
      </c>
    </row>
    <row r="359" spans="1:19" x14ac:dyDescent="0.3">
      <c r="A359">
        <v>5370</v>
      </c>
      <c r="B359" t="s">
        <v>39</v>
      </c>
      <c r="C359" t="s">
        <v>23</v>
      </c>
      <c r="D359" t="s">
        <v>212</v>
      </c>
      <c r="E359" t="s">
        <v>342</v>
      </c>
      <c r="F359" t="s">
        <v>335</v>
      </c>
      <c r="G359" t="s">
        <v>27</v>
      </c>
      <c r="H359" s="1" t="s">
        <v>28</v>
      </c>
      <c r="I359" t="s">
        <v>121</v>
      </c>
      <c r="J359">
        <v>97.2</v>
      </c>
      <c r="K359">
        <v>378.59</v>
      </c>
      <c r="L359">
        <v>36798.99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30</v>
      </c>
      <c r="S359" t="s">
        <v>31</v>
      </c>
    </row>
    <row r="360" spans="1:19" x14ac:dyDescent="0.3">
      <c r="A360">
        <v>5371</v>
      </c>
      <c r="B360" t="s">
        <v>39</v>
      </c>
      <c r="C360" t="s">
        <v>23</v>
      </c>
      <c r="D360" t="s">
        <v>129</v>
      </c>
      <c r="E360" t="s">
        <v>343</v>
      </c>
      <c r="F360" t="s">
        <v>335</v>
      </c>
      <c r="G360" t="s">
        <v>27</v>
      </c>
      <c r="H360" s="1" t="s">
        <v>28</v>
      </c>
      <c r="I360" t="s">
        <v>52</v>
      </c>
      <c r="J360">
        <v>1314</v>
      </c>
      <c r="K360">
        <v>26.56</v>
      </c>
      <c r="L360">
        <v>34902.339999999997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30</v>
      </c>
      <c r="S360" t="s">
        <v>31</v>
      </c>
    </row>
    <row r="361" spans="1:19" x14ac:dyDescent="0.3">
      <c r="A361">
        <v>5372</v>
      </c>
      <c r="B361" t="s">
        <v>39</v>
      </c>
      <c r="C361" t="s">
        <v>23</v>
      </c>
      <c r="D361" t="s">
        <v>129</v>
      </c>
      <c r="E361" t="s">
        <v>344</v>
      </c>
      <c r="F361" t="s">
        <v>335</v>
      </c>
      <c r="G361" t="s">
        <v>27</v>
      </c>
      <c r="H361" s="1" t="s">
        <v>28</v>
      </c>
      <c r="I361" t="s">
        <v>52</v>
      </c>
      <c r="J361">
        <v>872</v>
      </c>
      <c r="K361">
        <v>39.07</v>
      </c>
      <c r="L361">
        <v>34066.129999999997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30</v>
      </c>
      <c r="S361" t="s">
        <v>31</v>
      </c>
    </row>
    <row r="362" spans="1:19" x14ac:dyDescent="0.3">
      <c r="A362">
        <v>5373</v>
      </c>
      <c r="B362" t="s">
        <v>22</v>
      </c>
      <c r="C362" t="s">
        <v>23</v>
      </c>
      <c r="D362" t="s">
        <v>304</v>
      </c>
      <c r="E362" t="s">
        <v>239</v>
      </c>
      <c r="F362" t="s">
        <v>335</v>
      </c>
      <c r="G362" t="s">
        <v>27</v>
      </c>
      <c r="H362" s="1" t="s">
        <v>28</v>
      </c>
      <c r="I362" t="s">
        <v>35</v>
      </c>
      <c r="J362">
        <v>180</v>
      </c>
      <c r="K362">
        <v>180.95</v>
      </c>
      <c r="L362">
        <v>32571.43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30</v>
      </c>
      <c r="S362" t="s">
        <v>31</v>
      </c>
    </row>
    <row r="363" spans="1:19" x14ac:dyDescent="0.3">
      <c r="A363">
        <v>5374</v>
      </c>
      <c r="B363" t="s">
        <v>39</v>
      </c>
      <c r="C363" t="s">
        <v>23</v>
      </c>
      <c r="D363" t="s">
        <v>212</v>
      </c>
      <c r="E363" t="s">
        <v>345</v>
      </c>
      <c r="F363" t="s">
        <v>335</v>
      </c>
      <c r="G363" t="s">
        <v>27</v>
      </c>
      <c r="H363" s="1" t="s">
        <v>28</v>
      </c>
      <c r="I363" t="s">
        <v>52</v>
      </c>
      <c r="J363">
        <v>2140</v>
      </c>
      <c r="K363">
        <v>14.27</v>
      </c>
      <c r="L363">
        <v>30530.67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30</v>
      </c>
      <c r="S363" t="s">
        <v>31</v>
      </c>
    </row>
    <row r="364" spans="1:19" x14ac:dyDescent="0.3">
      <c r="A364">
        <v>5375</v>
      </c>
      <c r="B364" t="s">
        <v>39</v>
      </c>
      <c r="C364" t="s">
        <v>23</v>
      </c>
      <c r="D364" t="s">
        <v>129</v>
      </c>
      <c r="E364" t="s">
        <v>130</v>
      </c>
      <c r="F364" t="s">
        <v>335</v>
      </c>
      <c r="G364" t="s">
        <v>27</v>
      </c>
      <c r="H364" s="1" t="s">
        <v>28</v>
      </c>
      <c r="I364" t="s">
        <v>52</v>
      </c>
      <c r="J364">
        <v>2628</v>
      </c>
      <c r="K364">
        <v>11.48</v>
      </c>
      <c r="L364">
        <v>30159.43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30</v>
      </c>
      <c r="S364" t="s">
        <v>31</v>
      </c>
    </row>
    <row r="365" spans="1:19" x14ac:dyDescent="0.3">
      <c r="A365">
        <v>5376</v>
      </c>
      <c r="B365" t="s">
        <v>39</v>
      </c>
      <c r="C365" t="s">
        <v>23</v>
      </c>
      <c r="D365" t="s">
        <v>129</v>
      </c>
      <c r="E365" t="s">
        <v>346</v>
      </c>
      <c r="F365" t="s">
        <v>335</v>
      </c>
      <c r="G365" t="s">
        <v>27</v>
      </c>
      <c r="H365" s="1" t="s">
        <v>28</v>
      </c>
      <c r="I365" t="s">
        <v>52</v>
      </c>
      <c r="J365">
        <v>2140</v>
      </c>
      <c r="K365">
        <v>13.44</v>
      </c>
      <c r="L365">
        <v>28752.43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30</v>
      </c>
      <c r="S365" t="s">
        <v>31</v>
      </c>
    </row>
    <row r="366" spans="1:19" x14ac:dyDescent="0.3">
      <c r="A366">
        <v>5377</v>
      </c>
      <c r="B366" t="s">
        <v>42</v>
      </c>
      <c r="C366" t="s">
        <v>23</v>
      </c>
      <c r="D366" t="s">
        <v>43</v>
      </c>
      <c r="E366" t="s">
        <v>347</v>
      </c>
      <c r="F366" t="s">
        <v>335</v>
      </c>
      <c r="G366" t="s">
        <v>27</v>
      </c>
      <c r="H366" s="1" t="s">
        <v>28</v>
      </c>
      <c r="I366" t="s">
        <v>29</v>
      </c>
      <c r="J366">
        <v>1</v>
      </c>
      <c r="K366">
        <v>26666.67</v>
      </c>
      <c r="L366">
        <v>26666.67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30</v>
      </c>
      <c r="S366" t="s">
        <v>31</v>
      </c>
    </row>
    <row r="367" spans="1:19" x14ac:dyDescent="0.3">
      <c r="A367">
        <v>5378</v>
      </c>
      <c r="B367" t="s">
        <v>39</v>
      </c>
      <c r="C367" t="s">
        <v>23</v>
      </c>
      <c r="D367" t="s">
        <v>212</v>
      </c>
      <c r="E367" t="s">
        <v>150</v>
      </c>
      <c r="F367" t="s">
        <v>335</v>
      </c>
      <c r="G367" t="s">
        <v>27</v>
      </c>
      <c r="H367" s="1" t="s">
        <v>28</v>
      </c>
      <c r="I367" t="s">
        <v>112</v>
      </c>
      <c r="J367">
        <v>10236</v>
      </c>
      <c r="K367">
        <v>2.29</v>
      </c>
      <c r="L367">
        <v>23396.57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</v>
      </c>
      <c r="S367" t="s">
        <v>31</v>
      </c>
    </row>
    <row r="368" spans="1:19" x14ac:dyDescent="0.3">
      <c r="A368">
        <v>5379</v>
      </c>
      <c r="B368" t="s">
        <v>39</v>
      </c>
      <c r="C368" t="s">
        <v>23</v>
      </c>
      <c r="D368" t="s">
        <v>215</v>
      </c>
      <c r="E368" t="s">
        <v>348</v>
      </c>
      <c r="F368" t="s">
        <v>335</v>
      </c>
      <c r="G368" t="s">
        <v>27</v>
      </c>
      <c r="H368" s="1" t="s">
        <v>28</v>
      </c>
      <c r="I368" t="s">
        <v>29</v>
      </c>
      <c r="J368">
        <v>3</v>
      </c>
      <c r="K368">
        <v>7619.05</v>
      </c>
      <c r="L368">
        <v>22857.14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30</v>
      </c>
      <c r="S368" t="s">
        <v>31</v>
      </c>
    </row>
    <row r="369" spans="1:19" x14ac:dyDescent="0.3">
      <c r="A369">
        <v>5380</v>
      </c>
      <c r="B369" t="s">
        <v>220</v>
      </c>
      <c r="C369" t="s">
        <v>23</v>
      </c>
      <c r="D369" t="s">
        <v>349</v>
      </c>
      <c r="E369" t="s">
        <v>350</v>
      </c>
      <c r="F369" t="s">
        <v>335</v>
      </c>
      <c r="G369" t="s">
        <v>27</v>
      </c>
      <c r="H369" s="1" t="s">
        <v>28</v>
      </c>
      <c r="I369" t="s">
        <v>29</v>
      </c>
      <c r="J369">
        <v>1</v>
      </c>
      <c r="K369">
        <v>19047.62</v>
      </c>
      <c r="L369">
        <v>19047.62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30</v>
      </c>
      <c r="S369" t="s">
        <v>31</v>
      </c>
    </row>
    <row r="370" spans="1:19" x14ac:dyDescent="0.3">
      <c r="A370">
        <v>5381</v>
      </c>
      <c r="B370" t="s">
        <v>36</v>
      </c>
      <c r="C370" t="s">
        <v>23</v>
      </c>
      <c r="D370" t="s">
        <v>36</v>
      </c>
      <c r="E370" t="s">
        <v>351</v>
      </c>
      <c r="F370" t="s">
        <v>335</v>
      </c>
      <c r="G370" t="s">
        <v>27</v>
      </c>
      <c r="H370" s="1" t="s">
        <v>28</v>
      </c>
      <c r="I370" t="s">
        <v>35</v>
      </c>
      <c r="J370">
        <v>1</v>
      </c>
      <c r="K370">
        <v>19047.62</v>
      </c>
      <c r="L370">
        <v>19047.62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30</v>
      </c>
      <c r="S370" t="s">
        <v>31</v>
      </c>
    </row>
    <row r="371" spans="1:19" x14ac:dyDescent="0.3">
      <c r="A371">
        <v>5382</v>
      </c>
      <c r="B371" t="s">
        <v>42</v>
      </c>
      <c r="C371" t="s">
        <v>23</v>
      </c>
      <c r="D371" t="s">
        <v>43</v>
      </c>
      <c r="E371" t="s">
        <v>352</v>
      </c>
      <c r="F371" t="s">
        <v>335</v>
      </c>
      <c r="G371" t="s">
        <v>27</v>
      </c>
      <c r="H371" s="1" t="s">
        <v>28</v>
      </c>
      <c r="I371" t="s">
        <v>177</v>
      </c>
      <c r="J371">
        <v>50</v>
      </c>
      <c r="K371">
        <v>264</v>
      </c>
      <c r="L371">
        <v>13200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</v>
      </c>
      <c r="S371" t="s">
        <v>31</v>
      </c>
    </row>
    <row r="372" spans="1:19" x14ac:dyDescent="0.3">
      <c r="A372">
        <v>5383</v>
      </c>
      <c r="B372" t="s">
        <v>39</v>
      </c>
      <c r="C372" t="s">
        <v>23</v>
      </c>
      <c r="D372" t="s">
        <v>212</v>
      </c>
      <c r="E372" t="s">
        <v>353</v>
      </c>
      <c r="F372" t="s">
        <v>335</v>
      </c>
      <c r="G372" t="s">
        <v>27</v>
      </c>
      <c r="H372" s="1" t="s">
        <v>28</v>
      </c>
      <c r="I372" t="s">
        <v>121</v>
      </c>
      <c r="J372">
        <v>46.82</v>
      </c>
      <c r="K372">
        <v>278.10000000000002</v>
      </c>
      <c r="L372">
        <v>13020.28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30</v>
      </c>
      <c r="S372" t="s">
        <v>31</v>
      </c>
    </row>
    <row r="373" spans="1:19" x14ac:dyDescent="0.3">
      <c r="A373">
        <v>5384</v>
      </c>
      <c r="B373" t="s">
        <v>39</v>
      </c>
      <c r="C373" t="s">
        <v>23</v>
      </c>
      <c r="D373" t="s">
        <v>69</v>
      </c>
      <c r="E373" t="s">
        <v>354</v>
      </c>
      <c r="F373" t="s">
        <v>335</v>
      </c>
      <c r="G373" t="s">
        <v>27</v>
      </c>
      <c r="H373" s="1" t="s">
        <v>28</v>
      </c>
      <c r="I373" t="s">
        <v>52</v>
      </c>
      <c r="J373">
        <v>1314</v>
      </c>
      <c r="K373">
        <v>9.76</v>
      </c>
      <c r="L373">
        <v>12827.14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30</v>
      </c>
      <c r="S373" t="s">
        <v>31</v>
      </c>
    </row>
    <row r="374" spans="1:19" x14ac:dyDescent="0.3">
      <c r="A374">
        <v>5385</v>
      </c>
      <c r="B374" t="s">
        <v>39</v>
      </c>
      <c r="C374" t="s">
        <v>23</v>
      </c>
      <c r="D374" t="s">
        <v>212</v>
      </c>
      <c r="E374" t="s">
        <v>355</v>
      </c>
      <c r="F374" t="s">
        <v>335</v>
      </c>
      <c r="G374" t="s">
        <v>27</v>
      </c>
      <c r="H374" s="1" t="s">
        <v>28</v>
      </c>
      <c r="I374" t="s">
        <v>121</v>
      </c>
      <c r="J374">
        <v>734.49</v>
      </c>
      <c r="K374">
        <v>15.39</v>
      </c>
      <c r="L374">
        <v>11304.15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30</v>
      </c>
      <c r="S374" t="s">
        <v>31</v>
      </c>
    </row>
    <row r="375" spans="1:19" x14ac:dyDescent="0.3">
      <c r="A375">
        <v>5386</v>
      </c>
      <c r="B375" t="s">
        <v>39</v>
      </c>
      <c r="C375" t="s">
        <v>23</v>
      </c>
      <c r="D375" t="s">
        <v>98</v>
      </c>
      <c r="E375" t="s">
        <v>356</v>
      </c>
      <c r="F375" t="s">
        <v>335</v>
      </c>
      <c r="G375" t="s">
        <v>27</v>
      </c>
      <c r="H375" s="1" t="s">
        <v>28</v>
      </c>
      <c r="I375" t="s">
        <v>29</v>
      </c>
      <c r="J375">
        <v>1</v>
      </c>
      <c r="K375">
        <v>10972.38</v>
      </c>
      <c r="L375">
        <v>10972.38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30</v>
      </c>
      <c r="S375" t="s">
        <v>31</v>
      </c>
    </row>
    <row r="376" spans="1:19" x14ac:dyDescent="0.3">
      <c r="A376">
        <v>5387</v>
      </c>
      <c r="B376" t="s">
        <v>39</v>
      </c>
      <c r="C376" t="s">
        <v>23</v>
      </c>
      <c r="D376" t="s">
        <v>98</v>
      </c>
      <c r="E376" t="s">
        <v>357</v>
      </c>
      <c r="F376" t="s">
        <v>335</v>
      </c>
      <c r="G376" t="s">
        <v>27</v>
      </c>
      <c r="H376" s="1" t="s">
        <v>28</v>
      </c>
      <c r="I376" t="s">
        <v>29</v>
      </c>
      <c r="J376">
        <v>1</v>
      </c>
      <c r="K376">
        <v>8331.43</v>
      </c>
      <c r="L376">
        <v>8331.43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30</v>
      </c>
      <c r="S376" t="s">
        <v>31</v>
      </c>
    </row>
    <row r="377" spans="1:19" x14ac:dyDescent="0.3">
      <c r="A377">
        <v>5388</v>
      </c>
      <c r="B377" t="s">
        <v>39</v>
      </c>
      <c r="C377" t="s">
        <v>23</v>
      </c>
      <c r="D377" t="s">
        <v>69</v>
      </c>
      <c r="E377" t="s">
        <v>161</v>
      </c>
      <c r="F377" t="s">
        <v>335</v>
      </c>
      <c r="G377" t="s">
        <v>27</v>
      </c>
      <c r="H377" s="1" t="s">
        <v>28</v>
      </c>
      <c r="I377" t="s">
        <v>52</v>
      </c>
      <c r="J377">
        <v>1314</v>
      </c>
      <c r="K377">
        <v>6.25</v>
      </c>
      <c r="L377">
        <v>8209.3700000000008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30</v>
      </c>
      <c r="S377" t="s">
        <v>31</v>
      </c>
    </row>
    <row r="378" spans="1:19" x14ac:dyDescent="0.3">
      <c r="A378">
        <v>5389</v>
      </c>
      <c r="B378" t="s">
        <v>39</v>
      </c>
      <c r="C378" t="s">
        <v>23</v>
      </c>
      <c r="D378" t="s">
        <v>212</v>
      </c>
      <c r="E378" t="s">
        <v>358</v>
      </c>
      <c r="F378" t="s">
        <v>335</v>
      </c>
      <c r="G378" t="s">
        <v>27</v>
      </c>
      <c r="H378" s="1" t="s">
        <v>28</v>
      </c>
      <c r="I378" t="s">
        <v>112</v>
      </c>
      <c r="J378">
        <v>3214</v>
      </c>
      <c r="K378">
        <v>2.29</v>
      </c>
      <c r="L378">
        <v>7346.29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30</v>
      </c>
      <c r="S378" t="s">
        <v>31</v>
      </c>
    </row>
    <row r="379" spans="1:19" x14ac:dyDescent="0.3">
      <c r="A379">
        <v>5390</v>
      </c>
      <c r="B379" t="s">
        <v>36</v>
      </c>
      <c r="C379" t="s">
        <v>23</v>
      </c>
      <c r="D379" t="s">
        <v>36</v>
      </c>
      <c r="E379" t="s">
        <v>241</v>
      </c>
      <c r="F379" t="s">
        <v>335</v>
      </c>
      <c r="G379" t="s">
        <v>27</v>
      </c>
      <c r="H379" s="1" t="s">
        <v>28</v>
      </c>
      <c r="I379" t="s">
        <v>35</v>
      </c>
      <c r="J379">
        <v>1</v>
      </c>
      <c r="K379">
        <v>7285.71</v>
      </c>
      <c r="L379">
        <v>7285.71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30</v>
      </c>
      <c r="S379" t="s">
        <v>31</v>
      </c>
    </row>
    <row r="380" spans="1:19" x14ac:dyDescent="0.3">
      <c r="A380">
        <v>5391</v>
      </c>
      <c r="B380" t="s">
        <v>39</v>
      </c>
      <c r="C380" t="s">
        <v>23</v>
      </c>
      <c r="D380" t="s">
        <v>129</v>
      </c>
      <c r="E380" t="s">
        <v>359</v>
      </c>
      <c r="F380" t="s">
        <v>335</v>
      </c>
      <c r="G380" t="s">
        <v>27</v>
      </c>
      <c r="H380" s="1" t="s">
        <v>28</v>
      </c>
      <c r="I380" t="s">
        <v>29</v>
      </c>
      <c r="J380">
        <v>1</v>
      </c>
      <c r="K380">
        <v>6484.22</v>
      </c>
      <c r="L380">
        <v>6484.22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30</v>
      </c>
      <c r="S380" t="s">
        <v>31</v>
      </c>
    </row>
    <row r="381" spans="1:19" x14ac:dyDescent="0.3">
      <c r="A381">
        <v>5392</v>
      </c>
      <c r="B381" t="s">
        <v>39</v>
      </c>
      <c r="C381" t="s">
        <v>23</v>
      </c>
      <c r="D381" t="s">
        <v>212</v>
      </c>
      <c r="E381" t="s">
        <v>360</v>
      </c>
      <c r="F381" t="s">
        <v>335</v>
      </c>
      <c r="G381" t="s">
        <v>27</v>
      </c>
      <c r="H381" s="1" t="s">
        <v>28</v>
      </c>
      <c r="I381" t="s">
        <v>121</v>
      </c>
      <c r="J381">
        <v>242.19</v>
      </c>
      <c r="K381">
        <v>26.19</v>
      </c>
      <c r="L381">
        <v>6343.07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</v>
      </c>
      <c r="S381" t="s">
        <v>31</v>
      </c>
    </row>
    <row r="382" spans="1:19" x14ac:dyDescent="0.3">
      <c r="A382">
        <v>5393</v>
      </c>
      <c r="B382" t="s">
        <v>39</v>
      </c>
      <c r="C382" t="s">
        <v>23</v>
      </c>
      <c r="D382" t="s">
        <v>98</v>
      </c>
      <c r="E382" t="s">
        <v>361</v>
      </c>
      <c r="F382" t="s">
        <v>335</v>
      </c>
      <c r="G382" t="s">
        <v>27</v>
      </c>
      <c r="H382" s="1" t="s">
        <v>28</v>
      </c>
      <c r="I382" t="s">
        <v>52</v>
      </c>
      <c r="J382">
        <v>372</v>
      </c>
      <c r="K382">
        <v>15.32</v>
      </c>
      <c r="L382">
        <v>5700.46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</v>
      </c>
      <c r="S382" t="s">
        <v>31</v>
      </c>
    </row>
    <row r="383" spans="1:19" x14ac:dyDescent="0.3">
      <c r="A383">
        <v>5394</v>
      </c>
      <c r="B383" t="s">
        <v>39</v>
      </c>
      <c r="C383" t="s">
        <v>23</v>
      </c>
      <c r="D383" t="s">
        <v>129</v>
      </c>
      <c r="E383" t="s">
        <v>362</v>
      </c>
      <c r="F383" t="s">
        <v>335</v>
      </c>
      <c r="G383" t="s">
        <v>27</v>
      </c>
      <c r="H383" s="1" t="s">
        <v>28</v>
      </c>
      <c r="I383" t="s">
        <v>74</v>
      </c>
      <c r="J383">
        <v>85</v>
      </c>
      <c r="K383">
        <v>57.77</v>
      </c>
      <c r="L383">
        <v>4910.37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30</v>
      </c>
      <c r="S383" t="s">
        <v>31</v>
      </c>
    </row>
    <row r="384" spans="1:19" x14ac:dyDescent="0.3">
      <c r="A384">
        <v>5395</v>
      </c>
      <c r="B384" t="s">
        <v>39</v>
      </c>
      <c r="C384" t="s">
        <v>23</v>
      </c>
      <c r="D384" t="s">
        <v>98</v>
      </c>
      <c r="E384" t="s">
        <v>363</v>
      </c>
      <c r="F384" t="s">
        <v>335</v>
      </c>
      <c r="G384" t="s">
        <v>27</v>
      </c>
      <c r="H384" s="1" t="s">
        <v>28</v>
      </c>
      <c r="I384" t="s">
        <v>121</v>
      </c>
      <c r="J384">
        <v>1133.53</v>
      </c>
      <c r="K384">
        <v>4.0599999999999996</v>
      </c>
      <c r="L384">
        <v>4598.88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30</v>
      </c>
      <c r="S384" t="s">
        <v>31</v>
      </c>
    </row>
    <row r="385" spans="1:19" x14ac:dyDescent="0.3">
      <c r="A385">
        <v>5396</v>
      </c>
      <c r="B385" t="s">
        <v>39</v>
      </c>
      <c r="C385" t="s">
        <v>23</v>
      </c>
      <c r="D385" t="s">
        <v>212</v>
      </c>
      <c r="E385" t="s">
        <v>364</v>
      </c>
      <c r="F385" t="s">
        <v>335</v>
      </c>
      <c r="G385" t="s">
        <v>27</v>
      </c>
      <c r="H385" s="1" t="s">
        <v>28</v>
      </c>
      <c r="I385" t="s">
        <v>121</v>
      </c>
      <c r="J385">
        <v>140.4</v>
      </c>
      <c r="K385">
        <v>32</v>
      </c>
      <c r="L385">
        <v>4492.8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30</v>
      </c>
      <c r="S385" t="s">
        <v>31</v>
      </c>
    </row>
    <row r="386" spans="1:19" x14ac:dyDescent="0.3">
      <c r="A386">
        <v>5397</v>
      </c>
      <c r="B386" t="s">
        <v>39</v>
      </c>
      <c r="C386" t="s">
        <v>23</v>
      </c>
      <c r="D386" t="s">
        <v>98</v>
      </c>
      <c r="E386" t="s">
        <v>365</v>
      </c>
      <c r="F386" t="s">
        <v>335</v>
      </c>
      <c r="G386" t="s">
        <v>27</v>
      </c>
      <c r="H386" s="1" t="s">
        <v>28</v>
      </c>
      <c r="I386" t="s">
        <v>121</v>
      </c>
      <c r="J386">
        <v>630.95000000000005</v>
      </c>
      <c r="K386">
        <v>6.19</v>
      </c>
      <c r="L386">
        <v>3905.86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30</v>
      </c>
      <c r="S386" t="s">
        <v>31</v>
      </c>
    </row>
    <row r="387" spans="1:19" x14ac:dyDescent="0.3">
      <c r="A387">
        <v>5398</v>
      </c>
      <c r="B387" t="s">
        <v>39</v>
      </c>
      <c r="C387" t="s">
        <v>23</v>
      </c>
      <c r="D387" t="s">
        <v>69</v>
      </c>
      <c r="E387" t="s">
        <v>330</v>
      </c>
      <c r="F387" t="s">
        <v>335</v>
      </c>
      <c r="G387" t="s">
        <v>27</v>
      </c>
      <c r="H387" s="1" t="s">
        <v>28</v>
      </c>
      <c r="I387" t="s">
        <v>52</v>
      </c>
      <c r="J387">
        <v>1314</v>
      </c>
      <c r="K387">
        <v>2.88</v>
      </c>
      <c r="L387">
        <v>3779.31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30</v>
      </c>
      <c r="S387" t="s">
        <v>31</v>
      </c>
    </row>
    <row r="388" spans="1:19" x14ac:dyDescent="0.3">
      <c r="A388">
        <v>5399</v>
      </c>
      <c r="B388" t="s">
        <v>39</v>
      </c>
      <c r="C388" t="s">
        <v>23</v>
      </c>
      <c r="D388" t="s">
        <v>98</v>
      </c>
      <c r="E388" t="s">
        <v>366</v>
      </c>
      <c r="F388" t="s">
        <v>335</v>
      </c>
      <c r="G388" t="s">
        <v>27</v>
      </c>
      <c r="H388" s="1" t="s">
        <v>28</v>
      </c>
      <c r="I388" t="s">
        <v>121</v>
      </c>
      <c r="J388">
        <v>485.34</v>
      </c>
      <c r="K388">
        <v>7.65</v>
      </c>
      <c r="L388">
        <v>3711.73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30</v>
      </c>
      <c r="S388" t="s">
        <v>31</v>
      </c>
    </row>
    <row r="389" spans="1:19" x14ac:dyDescent="0.3">
      <c r="A389">
        <v>5400</v>
      </c>
      <c r="B389" t="s">
        <v>36</v>
      </c>
      <c r="C389" t="s">
        <v>23</v>
      </c>
      <c r="D389" t="s">
        <v>36</v>
      </c>
      <c r="E389" t="s">
        <v>290</v>
      </c>
      <c r="F389" t="s">
        <v>335</v>
      </c>
      <c r="G389" t="s">
        <v>27</v>
      </c>
      <c r="H389" s="1" t="s">
        <v>28</v>
      </c>
      <c r="I389" t="s">
        <v>35</v>
      </c>
      <c r="J389">
        <v>15</v>
      </c>
      <c r="K389">
        <v>238.1</v>
      </c>
      <c r="L389">
        <v>3571.43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30</v>
      </c>
      <c r="S389" t="s">
        <v>31</v>
      </c>
    </row>
    <row r="390" spans="1:19" x14ac:dyDescent="0.3">
      <c r="A390">
        <v>5401</v>
      </c>
      <c r="B390" t="s">
        <v>39</v>
      </c>
      <c r="C390" t="s">
        <v>23</v>
      </c>
      <c r="D390" t="s">
        <v>129</v>
      </c>
      <c r="E390" t="s">
        <v>318</v>
      </c>
      <c r="F390" t="s">
        <v>335</v>
      </c>
      <c r="G390" t="s">
        <v>27</v>
      </c>
      <c r="H390" s="1" t="s">
        <v>28</v>
      </c>
      <c r="I390" t="s">
        <v>112</v>
      </c>
      <c r="J390">
        <v>1025.6300000000001</v>
      </c>
      <c r="K390">
        <v>3.33</v>
      </c>
      <c r="L390">
        <v>3418.77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</v>
      </c>
      <c r="S390" t="s">
        <v>31</v>
      </c>
    </row>
    <row r="391" spans="1:19" x14ac:dyDescent="0.3">
      <c r="A391">
        <v>5402</v>
      </c>
      <c r="B391" t="s">
        <v>39</v>
      </c>
      <c r="C391" t="s">
        <v>23</v>
      </c>
      <c r="D391" t="s">
        <v>98</v>
      </c>
      <c r="E391" t="s">
        <v>367</v>
      </c>
      <c r="F391" t="s">
        <v>335</v>
      </c>
      <c r="G391" t="s">
        <v>27</v>
      </c>
      <c r="H391" s="1" t="s">
        <v>28</v>
      </c>
      <c r="I391" t="s">
        <v>29</v>
      </c>
      <c r="J391">
        <v>1</v>
      </c>
      <c r="K391">
        <v>3101.19</v>
      </c>
      <c r="L391">
        <v>3101.19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</v>
      </c>
      <c r="S391" t="s">
        <v>31</v>
      </c>
    </row>
    <row r="392" spans="1:19" x14ac:dyDescent="0.3">
      <c r="A392">
        <v>5403</v>
      </c>
      <c r="B392" t="s">
        <v>39</v>
      </c>
      <c r="C392" t="s">
        <v>23</v>
      </c>
      <c r="D392" t="s">
        <v>98</v>
      </c>
      <c r="E392" t="s">
        <v>368</v>
      </c>
      <c r="F392" t="s">
        <v>335</v>
      </c>
      <c r="G392" t="s">
        <v>27</v>
      </c>
      <c r="H392" s="1" t="s">
        <v>28</v>
      </c>
      <c r="I392" t="s">
        <v>29</v>
      </c>
      <c r="J392">
        <v>1</v>
      </c>
      <c r="K392">
        <v>2722.35</v>
      </c>
      <c r="L392">
        <v>2722.35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</v>
      </c>
      <c r="S392" t="s">
        <v>31</v>
      </c>
    </row>
    <row r="393" spans="1:19" x14ac:dyDescent="0.3">
      <c r="A393">
        <v>5404</v>
      </c>
      <c r="B393" t="s">
        <v>39</v>
      </c>
      <c r="C393" t="s">
        <v>23</v>
      </c>
      <c r="D393" t="s">
        <v>98</v>
      </c>
      <c r="E393" t="s">
        <v>369</v>
      </c>
      <c r="F393" t="s">
        <v>335</v>
      </c>
      <c r="G393" t="s">
        <v>27</v>
      </c>
      <c r="H393" s="1" t="s">
        <v>28</v>
      </c>
      <c r="I393" t="s">
        <v>121</v>
      </c>
      <c r="J393">
        <v>386.6</v>
      </c>
      <c r="K393">
        <v>6.19</v>
      </c>
      <c r="L393">
        <v>2393.2399999999998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30</v>
      </c>
      <c r="S393" t="s">
        <v>31</v>
      </c>
    </row>
    <row r="394" spans="1:19" x14ac:dyDescent="0.3">
      <c r="A394">
        <v>5405</v>
      </c>
      <c r="B394" t="s">
        <v>39</v>
      </c>
      <c r="C394" t="s">
        <v>23</v>
      </c>
      <c r="D394" t="s">
        <v>98</v>
      </c>
      <c r="E394" t="s">
        <v>169</v>
      </c>
      <c r="F394" t="s">
        <v>335</v>
      </c>
      <c r="G394" t="s">
        <v>27</v>
      </c>
      <c r="H394" s="1" t="s">
        <v>28</v>
      </c>
      <c r="I394" t="s">
        <v>29</v>
      </c>
      <c r="J394">
        <v>1</v>
      </c>
      <c r="K394">
        <v>2005.71</v>
      </c>
      <c r="L394">
        <v>2005.71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30</v>
      </c>
      <c r="S394" t="s">
        <v>31</v>
      </c>
    </row>
    <row r="395" spans="1:19" x14ac:dyDescent="0.3">
      <c r="A395">
        <v>5406</v>
      </c>
      <c r="B395" t="s">
        <v>42</v>
      </c>
      <c r="C395" t="s">
        <v>23</v>
      </c>
      <c r="D395" t="s">
        <v>43</v>
      </c>
      <c r="E395" t="s">
        <v>370</v>
      </c>
      <c r="F395" t="s">
        <v>335</v>
      </c>
      <c r="G395" t="s">
        <v>27</v>
      </c>
      <c r="H395" s="1" t="s">
        <v>28</v>
      </c>
      <c r="I395" t="s">
        <v>177</v>
      </c>
      <c r="J395">
        <v>1</v>
      </c>
      <c r="K395">
        <v>1885.71</v>
      </c>
      <c r="L395">
        <v>1885.71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30</v>
      </c>
      <c r="S395" t="s">
        <v>31</v>
      </c>
    </row>
    <row r="396" spans="1:19" x14ac:dyDescent="0.3">
      <c r="A396">
        <v>5407</v>
      </c>
      <c r="B396" t="s">
        <v>36</v>
      </c>
      <c r="C396" t="s">
        <v>23</v>
      </c>
      <c r="D396" t="s">
        <v>36</v>
      </c>
      <c r="E396" t="s">
        <v>371</v>
      </c>
      <c r="F396" t="s">
        <v>335</v>
      </c>
      <c r="G396" t="s">
        <v>27</v>
      </c>
      <c r="H396" s="1" t="s">
        <v>28</v>
      </c>
      <c r="I396" t="s">
        <v>35</v>
      </c>
      <c r="J396">
        <v>1</v>
      </c>
      <c r="K396">
        <v>1238.0999999999999</v>
      </c>
      <c r="L396">
        <v>1238.0999999999999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30</v>
      </c>
      <c r="S396" t="s">
        <v>31</v>
      </c>
    </row>
    <row r="397" spans="1:19" x14ac:dyDescent="0.3">
      <c r="A397">
        <v>5408</v>
      </c>
      <c r="B397" t="s">
        <v>39</v>
      </c>
      <c r="C397" t="s">
        <v>23</v>
      </c>
      <c r="D397" t="s">
        <v>98</v>
      </c>
      <c r="E397" t="s">
        <v>372</v>
      </c>
      <c r="F397" t="s">
        <v>335</v>
      </c>
      <c r="G397" t="s">
        <v>27</v>
      </c>
      <c r="H397" s="1" t="s">
        <v>28</v>
      </c>
      <c r="I397" t="s">
        <v>74</v>
      </c>
      <c r="J397">
        <v>1102.8800000000001</v>
      </c>
      <c r="K397">
        <v>0.96</v>
      </c>
      <c r="L397">
        <v>1060.8699999999999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30</v>
      </c>
      <c r="S397" t="s">
        <v>31</v>
      </c>
    </row>
    <row r="398" spans="1:19" x14ac:dyDescent="0.3">
      <c r="A398">
        <v>5409</v>
      </c>
      <c r="B398" t="s">
        <v>42</v>
      </c>
      <c r="C398" t="s">
        <v>23</v>
      </c>
      <c r="D398" t="s">
        <v>43</v>
      </c>
      <c r="E398" t="s">
        <v>373</v>
      </c>
      <c r="F398" t="s">
        <v>335</v>
      </c>
      <c r="G398" t="s">
        <v>27</v>
      </c>
      <c r="H398" s="1" t="s">
        <v>28</v>
      </c>
      <c r="I398" t="s">
        <v>181</v>
      </c>
      <c r="J398">
        <v>4</v>
      </c>
      <c r="K398">
        <v>62.86</v>
      </c>
      <c r="L398">
        <v>251.43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30</v>
      </c>
      <c r="S398" t="s">
        <v>31</v>
      </c>
    </row>
    <row r="399" spans="1:19" x14ac:dyDescent="0.3">
      <c r="A399">
        <v>5410</v>
      </c>
      <c r="B399" t="s">
        <v>219</v>
      </c>
      <c r="C399" t="s">
        <v>23</v>
      </c>
      <c r="D399" t="s">
        <v>259</v>
      </c>
      <c r="E399" t="s">
        <v>260</v>
      </c>
      <c r="F399" t="s">
        <v>335</v>
      </c>
      <c r="G399" t="s">
        <v>27</v>
      </c>
      <c r="H399" s="1" t="s">
        <v>28</v>
      </c>
      <c r="I399" t="s">
        <v>35</v>
      </c>
      <c r="J399">
        <v>2</v>
      </c>
      <c r="K399">
        <v>12000</v>
      </c>
      <c r="L399">
        <v>24000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30</v>
      </c>
      <c r="S399" t="s">
        <v>31</v>
      </c>
    </row>
    <row r="400" spans="1:19" x14ac:dyDescent="0.3">
      <c r="A400">
        <v>5411</v>
      </c>
      <c r="B400" t="s">
        <v>219</v>
      </c>
      <c r="C400" t="s">
        <v>23</v>
      </c>
      <c r="D400" t="s">
        <v>251</v>
      </c>
      <c r="E400" t="s">
        <v>374</v>
      </c>
      <c r="F400" t="s">
        <v>375</v>
      </c>
      <c r="G400" t="s">
        <v>27</v>
      </c>
      <c r="H400" s="1" t="s">
        <v>28</v>
      </c>
      <c r="I400" t="s">
        <v>35</v>
      </c>
      <c r="J400">
        <v>4</v>
      </c>
      <c r="K400">
        <v>87473.02</v>
      </c>
      <c r="L400">
        <v>349892.08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30</v>
      </c>
      <c r="S400" t="s">
        <v>31</v>
      </c>
    </row>
    <row r="401" spans="1:19" x14ac:dyDescent="0.3">
      <c r="A401">
        <v>5412</v>
      </c>
      <c r="B401" t="s">
        <v>219</v>
      </c>
      <c r="C401" t="s">
        <v>23</v>
      </c>
      <c r="D401" t="s">
        <v>251</v>
      </c>
      <c r="E401" t="s">
        <v>376</v>
      </c>
      <c r="F401" t="s">
        <v>375</v>
      </c>
      <c r="G401" t="s">
        <v>27</v>
      </c>
      <c r="H401" s="1" t="s">
        <v>28</v>
      </c>
      <c r="I401" t="s">
        <v>35</v>
      </c>
      <c r="J401">
        <v>3</v>
      </c>
      <c r="K401">
        <v>74476.19</v>
      </c>
      <c r="L401">
        <v>223428.57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30</v>
      </c>
      <c r="S401" t="s">
        <v>31</v>
      </c>
    </row>
    <row r="402" spans="1:19" x14ac:dyDescent="0.3">
      <c r="A402">
        <v>5413</v>
      </c>
      <c r="B402" t="s">
        <v>219</v>
      </c>
      <c r="C402" t="s">
        <v>23</v>
      </c>
      <c r="D402" t="s">
        <v>251</v>
      </c>
      <c r="E402" t="s">
        <v>377</v>
      </c>
      <c r="F402" t="s">
        <v>375</v>
      </c>
      <c r="G402" t="s">
        <v>27</v>
      </c>
      <c r="H402" s="1" t="s">
        <v>28</v>
      </c>
      <c r="I402" t="s">
        <v>35</v>
      </c>
      <c r="J402">
        <v>1</v>
      </c>
      <c r="K402">
        <v>25000</v>
      </c>
      <c r="L402">
        <v>25000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30</v>
      </c>
      <c r="S402" t="s">
        <v>31</v>
      </c>
    </row>
    <row r="403" spans="1:19" x14ac:dyDescent="0.3">
      <c r="A403">
        <v>5414</v>
      </c>
      <c r="B403" t="s">
        <v>32</v>
      </c>
      <c r="C403" t="s">
        <v>23</v>
      </c>
      <c r="D403" t="s">
        <v>378</v>
      </c>
      <c r="E403" t="s">
        <v>379</v>
      </c>
      <c r="F403" t="s">
        <v>375</v>
      </c>
      <c r="G403" t="s">
        <v>27</v>
      </c>
      <c r="H403" s="1" t="s">
        <v>28</v>
      </c>
      <c r="I403" t="s">
        <v>35</v>
      </c>
      <c r="J403">
        <v>60</v>
      </c>
      <c r="K403">
        <v>571.42999999999995</v>
      </c>
      <c r="L403">
        <v>34285.71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30</v>
      </c>
      <c r="S403" t="s">
        <v>31</v>
      </c>
    </row>
    <row r="404" spans="1:19" x14ac:dyDescent="0.3">
      <c r="A404">
        <v>5415</v>
      </c>
      <c r="B404" t="s">
        <v>32</v>
      </c>
      <c r="C404" t="s">
        <v>23</v>
      </c>
      <c r="D404" t="s">
        <v>378</v>
      </c>
      <c r="E404" t="s">
        <v>379</v>
      </c>
      <c r="F404" t="s">
        <v>375</v>
      </c>
      <c r="G404" t="s">
        <v>27</v>
      </c>
      <c r="H404" s="1" t="s">
        <v>28</v>
      </c>
      <c r="I404" t="s">
        <v>35</v>
      </c>
      <c r="J404">
        <v>39</v>
      </c>
      <c r="K404">
        <v>571.42999999999995</v>
      </c>
      <c r="L404">
        <v>22285.71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30</v>
      </c>
      <c r="S404" t="s">
        <v>31</v>
      </c>
    </row>
    <row r="405" spans="1:19" x14ac:dyDescent="0.3">
      <c r="A405">
        <v>5416</v>
      </c>
      <c r="B405" t="s">
        <v>32</v>
      </c>
      <c r="C405" t="s">
        <v>23</v>
      </c>
      <c r="D405" t="s">
        <v>378</v>
      </c>
      <c r="E405" t="s">
        <v>379</v>
      </c>
      <c r="F405" t="s">
        <v>375</v>
      </c>
      <c r="G405" t="s">
        <v>27</v>
      </c>
      <c r="H405" s="1" t="s">
        <v>28</v>
      </c>
      <c r="I405" t="s">
        <v>35</v>
      </c>
      <c r="J405">
        <v>31</v>
      </c>
      <c r="K405">
        <v>571.42999999999995</v>
      </c>
      <c r="L405">
        <v>17714.29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</v>
      </c>
      <c r="S405" t="s">
        <v>31</v>
      </c>
    </row>
    <row r="406" spans="1:19" x14ac:dyDescent="0.3">
      <c r="A406">
        <v>5417</v>
      </c>
      <c r="B406" t="s">
        <v>32</v>
      </c>
      <c r="C406" t="s">
        <v>23</v>
      </c>
      <c r="D406" t="s">
        <v>378</v>
      </c>
      <c r="E406" t="s">
        <v>379</v>
      </c>
      <c r="F406" t="s">
        <v>375</v>
      </c>
      <c r="G406" t="s">
        <v>27</v>
      </c>
      <c r="H406" s="1" t="s">
        <v>28</v>
      </c>
      <c r="I406" t="s">
        <v>35</v>
      </c>
      <c r="J406">
        <v>28</v>
      </c>
      <c r="K406">
        <v>571.42999999999995</v>
      </c>
      <c r="L406">
        <v>16000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</v>
      </c>
      <c r="S406" t="s">
        <v>31</v>
      </c>
    </row>
    <row r="407" spans="1:19" x14ac:dyDescent="0.3">
      <c r="A407">
        <v>5418</v>
      </c>
      <c r="B407" t="s">
        <v>32</v>
      </c>
      <c r="C407" t="s">
        <v>23</v>
      </c>
      <c r="D407" t="s">
        <v>378</v>
      </c>
      <c r="E407" t="s">
        <v>380</v>
      </c>
      <c r="F407" t="s">
        <v>375</v>
      </c>
      <c r="G407" t="s">
        <v>27</v>
      </c>
      <c r="H407" s="1" t="s">
        <v>28</v>
      </c>
      <c r="I407" t="s">
        <v>35</v>
      </c>
      <c r="J407">
        <v>190</v>
      </c>
      <c r="K407">
        <v>66.040000000000006</v>
      </c>
      <c r="L407">
        <v>12547.24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30</v>
      </c>
      <c r="S407" t="s">
        <v>31</v>
      </c>
    </row>
    <row r="408" spans="1:19" x14ac:dyDescent="0.3">
      <c r="A408">
        <v>5419</v>
      </c>
      <c r="B408" t="s">
        <v>32</v>
      </c>
      <c r="C408" t="s">
        <v>23</v>
      </c>
      <c r="D408" t="s">
        <v>378</v>
      </c>
      <c r="E408" t="s">
        <v>381</v>
      </c>
      <c r="F408" t="s">
        <v>375</v>
      </c>
      <c r="G408" t="s">
        <v>27</v>
      </c>
      <c r="H408" s="1" t="s">
        <v>28</v>
      </c>
      <c r="I408" t="s">
        <v>35</v>
      </c>
      <c r="J408">
        <v>42</v>
      </c>
      <c r="K408">
        <v>273.12</v>
      </c>
      <c r="L408">
        <v>11471.2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30</v>
      </c>
      <c r="S408" t="s">
        <v>31</v>
      </c>
    </row>
    <row r="409" spans="1:19" x14ac:dyDescent="0.3">
      <c r="A409">
        <v>5420</v>
      </c>
      <c r="B409" t="s">
        <v>32</v>
      </c>
      <c r="C409" t="s">
        <v>23</v>
      </c>
      <c r="D409" t="s">
        <v>378</v>
      </c>
      <c r="E409" t="s">
        <v>382</v>
      </c>
      <c r="F409" t="s">
        <v>375</v>
      </c>
      <c r="G409" t="s">
        <v>27</v>
      </c>
      <c r="H409" s="1" t="s">
        <v>28</v>
      </c>
      <c r="I409" t="s">
        <v>35</v>
      </c>
      <c r="J409">
        <v>1</v>
      </c>
      <c r="K409">
        <v>10209.52</v>
      </c>
      <c r="L409">
        <v>10209.52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30</v>
      </c>
      <c r="S409" t="s">
        <v>31</v>
      </c>
    </row>
    <row r="410" spans="1:19" x14ac:dyDescent="0.3">
      <c r="A410">
        <v>5421</v>
      </c>
      <c r="B410" t="s">
        <v>32</v>
      </c>
      <c r="C410" t="s">
        <v>23</v>
      </c>
      <c r="D410" t="s">
        <v>378</v>
      </c>
      <c r="E410" t="s">
        <v>380</v>
      </c>
      <c r="F410" t="s">
        <v>375</v>
      </c>
      <c r="G410" t="s">
        <v>27</v>
      </c>
      <c r="H410" s="1" t="s">
        <v>28</v>
      </c>
      <c r="I410" t="s">
        <v>35</v>
      </c>
      <c r="J410">
        <v>120</v>
      </c>
      <c r="K410">
        <v>66.040000000000006</v>
      </c>
      <c r="L410">
        <v>7924.57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30</v>
      </c>
      <c r="S410" t="s">
        <v>31</v>
      </c>
    </row>
    <row r="411" spans="1:19" x14ac:dyDescent="0.3">
      <c r="A411">
        <v>5422</v>
      </c>
      <c r="B411" t="s">
        <v>32</v>
      </c>
      <c r="C411" t="s">
        <v>23</v>
      </c>
      <c r="D411" t="s">
        <v>378</v>
      </c>
      <c r="E411" t="s">
        <v>383</v>
      </c>
      <c r="F411" t="s">
        <v>375</v>
      </c>
      <c r="G411" t="s">
        <v>27</v>
      </c>
      <c r="H411" s="1" t="s">
        <v>28</v>
      </c>
      <c r="I411" t="s">
        <v>35</v>
      </c>
      <c r="J411">
        <v>200</v>
      </c>
      <c r="K411">
        <v>36.909999999999997</v>
      </c>
      <c r="L411">
        <v>7382.86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30</v>
      </c>
      <c r="S411" t="s">
        <v>31</v>
      </c>
    </row>
    <row r="412" spans="1:19" x14ac:dyDescent="0.3">
      <c r="A412">
        <v>5423</v>
      </c>
      <c r="B412" t="s">
        <v>32</v>
      </c>
      <c r="C412" t="s">
        <v>23</v>
      </c>
      <c r="D412" t="s">
        <v>378</v>
      </c>
      <c r="E412" t="s">
        <v>379</v>
      </c>
      <c r="F412" t="s">
        <v>375</v>
      </c>
      <c r="G412" t="s">
        <v>27</v>
      </c>
      <c r="H412" s="1" t="s">
        <v>28</v>
      </c>
      <c r="I412" t="s">
        <v>35</v>
      </c>
      <c r="J412">
        <v>14</v>
      </c>
      <c r="K412">
        <v>488.91</v>
      </c>
      <c r="L412">
        <v>6844.8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30</v>
      </c>
      <c r="S412" t="s">
        <v>31</v>
      </c>
    </row>
    <row r="413" spans="1:19" x14ac:dyDescent="0.3">
      <c r="A413">
        <v>5424</v>
      </c>
      <c r="B413" t="s">
        <v>32</v>
      </c>
      <c r="C413" t="s">
        <v>23</v>
      </c>
      <c r="D413" t="s">
        <v>378</v>
      </c>
      <c r="E413" t="s">
        <v>384</v>
      </c>
      <c r="F413" t="s">
        <v>375</v>
      </c>
      <c r="G413" t="s">
        <v>27</v>
      </c>
      <c r="H413" s="1" t="s">
        <v>28</v>
      </c>
      <c r="I413" t="s">
        <v>35</v>
      </c>
      <c r="J413">
        <v>14</v>
      </c>
      <c r="K413">
        <v>480.81</v>
      </c>
      <c r="L413">
        <v>6731.33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30</v>
      </c>
      <c r="S413" t="s">
        <v>31</v>
      </c>
    </row>
    <row r="414" spans="1:19" x14ac:dyDescent="0.3">
      <c r="A414">
        <v>5425</v>
      </c>
      <c r="B414" t="s">
        <v>32</v>
      </c>
      <c r="C414" t="s">
        <v>23</v>
      </c>
      <c r="D414" t="s">
        <v>378</v>
      </c>
      <c r="E414" t="s">
        <v>385</v>
      </c>
      <c r="F414" t="s">
        <v>375</v>
      </c>
      <c r="G414" t="s">
        <v>27</v>
      </c>
      <c r="H414" s="1" t="s">
        <v>28</v>
      </c>
      <c r="I414" t="s">
        <v>35</v>
      </c>
      <c r="J414">
        <v>24</v>
      </c>
      <c r="K414">
        <v>273.12</v>
      </c>
      <c r="L414">
        <v>6554.97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30</v>
      </c>
      <c r="S414" t="s">
        <v>31</v>
      </c>
    </row>
    <row r="415" spans="1:19" x14ac:dyDescent="0.3">
      <c r="A415">
        <v>5426</v>
      </c>
      <c r="B415" t="s">
        <v>32</v>
      </c>
      <c r="C415" t="s">
        <v>23</v>
      </c>
      <c r="D415" t="s">
        <v>378</v>
      </c>
      <c r="E415" t="s">
        <v>386</v>
      </c>
      <c r="F415" t="s">
        <v>375</v>
      </c>
      <c r="G415" t="s">
        <v>27</v>
      </c>
      <c r="H415" s="1" t="s">
        <v>28</v>
      </c>
      <c r="I415" t="s">
        <v>35</v>
      </c>
      <c r="J415">
        <v>180</v>
      </c>
      <c r="K415">
        <v>35.39</v>
      </c>
      <c r="L415">
        <v>6370.29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</v>
      </c>
      <c r="S415" t="s">
        <v>31</v>
      </c>
    </row>
    <row r="416" spans="1:19" x14ac:dyDescent="0.3">
      <c r="A416">
        <v>5427</v>
      </c>
      <c r="B416" t="s">
        <v>32</v>
      </c>
      <c r="C416" t="s">
        <v>23</v>
      </c>
      <c r="D416" t="s">
        <v>378</v>
      </c>
      <c r="E416" t="s">
        <v>387</v>
      </c>
      <c r="F416" t="s">
        <v>375</v>
      </c>
      <c r="G416" t="s">
        <v>27</v>
      </c>
      <c r="H416" s="1" t="s">
        <v>28</v>
      </c>
      <c r="I416" t="s">
        <v>35</v>
      </c>
      <c r="J416">
        <v>630</v>
      </c>
      <c r="K416">
        <v>9.2100000000000009</v>
      </c>
      <c r="L416">
        <v>5802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</v>
      </c>
      <c r="S416" t="s">
        <v>31</v>
      </c>
    </row>
    <row r="417" spans="1:19" x14ac:dyDescent="0.3">
      <c r="A417">
        <v>5428</v>
      </c>
      <c r="B417" t="s">
        <v>32</v>
      </c>
      <c r="C417" t="s">
        <v>23</v>
      </c>
      <c r="D417" t="s">
        <v>378</v>
      </c>
      <c r="E417" t="s">
        <v>388</v>
      </c>
      <c r="F417" t="s">
        <v>375</v>
      </c>
      <c r="G417" t="s">
        <v>27</v>
      </c>
      <c r="H417" s="1" t="s">
        <v>28</v>
      </c>
      <c r="I417" t="s">
        <v>35</v>
      </c>
      <c r="J417">
        <v>130</v>
      </c>
      <c r="K417">
        <v>44.07</v>
      </c>
      <c r="L417">
        <v>5728.67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30</v>
      </c>
      <c r="S417" t="s">
        <v>31</v>
      </c>
    </row>
    <row r="418" spans="1:19" x14ac:dyDescent="0.3">
      <c r="A418">
        <v>5429</v>
      </c>
      <c r="B418" t="s">
        <v>32</v>
      </c>
      <c r="C418" t="s">
        <v>23</v>
      </c>
      <c r="D418" t="s">
        <v>378</v>
      </c>
      <c r="E418" t="s">
        <v>384</v>
      </c>
      <c r="F418" t="s">
        <v>375</v>
      </c>
      <c r="G418" t="s">
        <v>27</v>
      </c>
      <c r="H418" s="1" t="s">
        <v>28</v>
      </c>
      <c r="I418" t="s">
        <v>35</v>
      </c>
      <c r="J418">
        <v>11</v>
      </c>
      <c r="K418">
        <v>480.81</v>
      </c>
      <c r="L418">
        <v>5288.9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</v>
      </c>
      <c r="S418" t="s">
        <v>31</v>
      </c>
    </row>
    <row r="419" spans="1:19" x14ac:dyDescent="0.3">
      <c r="A419">
        <v>5430</v>
      </c>
      <c r="B419" t="s">
        <v>32</v>
      </c>
      <c r="C419" t="s">
        <v>23</v>
      </c>
      <c r="D419" t="s">
        <v>378</v>
      </c>
      <c r="E419" t="s">
        <v>383</v>
      </c>
      <c r="F419" t="s">
        <v>375</v>
      </c>
      <c r="G419" t="s">
        <v>27</v>
      </c>
      <c r="H419" s="1" t="s">
        <v>28</v>
      </c>
      <c r="I419" t="s">
        <v>35</v>
      </c>
      <c r="J419">
        <v>120</v>
      </c>
      <c r="K419">
        <v>36.909999999999997</v>
      </c>
      <c r="L419">
        <v>4429.71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30</v>
      </c>
      <c r="S419" t="s">
        <v>31</v>
      </c>
    </row>
    <row r="420" spans="1:19" x14ac:dyDescent="0.3">
      <c r="A420">
        <v>5431</v>
      </c>
      <c r="B420" t="s">
        <v>32</v>
      </c>
      <c r="C420" t="s">
        <v>23</v>
      </c>
      <c r="D420" t="s">
        <v>378</v>
      </c>
      <c r="E420" t="s">
        <v>389</v>
      </c>
      <c r="F420" t="s">
        <v>375</v>
      </c>
      <c r="G420" t="s">
        <v>27</v>
      </c>
      <c r="H420" s="1" t="s">
        <v>28</v>
      </c>
      <c r="I420" t="s">
        <v>35</v>
      </c>
      <c r="J420">
        <v>130</v>
      </c>
      <c r="K420">
        <v>33.020000000000003</v>
      </c>
      <c r="L420">
        <v>4292.4799999999996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</v>
      </c>
      <c r="S420" t="s">
        <v>31</v>
      </c>
    </row>
    <row r="421" spans="1:19" x14ac:dyDescent="0.3">
      <c r="A421">
        <v>5432</v>
      </c>
      <c r="B421" t="s">
        <v>32</v>
      </c>
      <c r="C421" t="s">
        <v>23</v>
      </c>
      <c r="D421" t="s">
        <v>378</v>
      </c>
      <c r="E421" t="s">
        <v>390</v>
      </c>
      <c r="F421" t="s">
        <v>375</v>
      </c>
      <c r="G421" t="s">
        <v>27</v>
      </c>
      <c r="H421" s="1" t="s">
        <v>28</v>
      </c>
      <c r="I421" t="s">
        <v>35</v>
      </c>
      <c r="J421">
        <v>20</v>
      </c>
      <c r="K421">
        <v>209.31</v>
      </c>
      <c r="L421">
        <v>4186.29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30</v>
      </c>
      <c r="S421" t="s">
        <v>31</v>
      </c>
    </row>
    <row r="422" spans="1:19" x14ac:dyDescent="0.3">
      <c r="A422">
        <v>5433</v>
      </c>
      <c r="B422" t="s">
        <v>32</v>
      </c>
      <c r="C422" t="s">
        <v>23</v>
      </c>
      <c r="D422" t="s">
        <v>378</v>
      </c>
      <c r="E422" t="s">
        <v>391</v>
      </c>
      <c r="F422" t="s">
        <v>375</v>
      </c>
      <c r="G422" t="s">
        <v>27</v>
      </c>
      <c r="H422" s="1" t="s">
        <v>28</v>
      </c>
      <c r="I422" t="s">
        <v>35</v>
      </c>
      <c r="J422">
        <v>7</v>
      </c>
      <c r="K422">
        <v>591.05999999999995</v>
      </c>
      <c r="L422">
        <v>4137.3999999999996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30</v>
      </c>
      <c r="S422" t="s">
        <v>31</v>
      </c>
    </row>
    <row r="423" spans="1:19" x14ac:dyDescent="0.3">
      <c r="A423">
        <v>5434</v>
      </c>
      <c r="B423" t="s">
        <v>32</v>
      </c>
      <c r="C423" t="s">
        <v>23</v>
      </c>
      <c r="D423" t="s">
        <v>378</v>
      </c>
      <c r="E423" t="s">
        <v>388</v>
      </c>
      <c r="F423" t="s">
        <v>375</v>
      </c>
      <c r="G423" t="s">
        <v>27</v>
      </c>
      <c r="H423" s="1" t="s">
        <v>28</v>
      </c>
      <c r="I423" t="s">
        <v>35</v>
      </c>
      <c r="J423">
        <v>90</v>
      </c>
      <c r="K423">
        <v>44.07</v>
      </c>
      <c r="L423">
        <v>3966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30</v>
      </c>
      <c r="S423" t="s">
        <v>31</v>
      </c>
    </row>
    <row r="424" spans="1:19" x14ac:dyDescent="0.3">
      <c r="A424">
        <v>5435</v>
      </c>
      <c r="B424" t="s">
        <v>32</v>
      </c>
      <c r="C424" t="s">
        <v>23</v>
      </c>
      <c r="D424" t="s">
        <v>378</v>
      </c>
      <c r="E424" t="s">
        <v>387</v>
      </c>
      <c r="F424" t="s">
        <v>375</v>
      </c>
      <c r="G424" t="s">
        <v>27</v>
      </c>
      <c r="H424" s="1" t="s">
        <v>28</v>
      </c>
      <c r="I424" t="s">
        <v>35</v>
      </c>
      <c r="J424">
        <v>405</v>
      </c>
      <c r="K424">
        <v>9.2100000000000009</v>
      </c>
      <c r="L424">
        <v>3729.86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30</v>
      </c>
      <c r="S424" t="s">
        <v>31</v>
      </c>
    </row>
    <row r="425" spans="1:19" x14ac:dyDescent="0.3">
      <c r="A425">
        <v>5436</v>
      </c>
      <c r="B425" t="s">
        <v>32</v>
      </c>
      <c r="C425" t="s">
        <v>23</v>
      </c>
      <c r="D425" t="s">
        <v>378</v>
      </c>
      <c r="E425" t="s">
        <v>387</v>
      </c>
      <c r="F425" t="s">
        <v>375</v>
      </c>
      <c r="G425" t="s">
        <v>27</v>
      </c>
      <c r="H425" s="1" t="s">
        <v>28</v>
      </c>
      <c r="I425" t="s">
        <v>35</v>
      </c>
      <c r="J425">
        <v>385</v>
      </c>
      <c r="K425">
        <v>9.2100000000000009</v>
      </c>
      <c r="L425">
        <v>3545.67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30</v>
      </c>
      <c r="S425" t="s">
        <v>31</v>
      </c>
    </row>
    <row r="426" spans="1:19" x14ac:dyDescent="0.3">
      <c r="A426">
        <v>5437</v>
      </c>
      <c r="B426" t="s">
        <v>32</v>
      </c>
      <c r="C426" t="s">
        <v>23</v>
      </c>
      <c r="D426" t="s">
        <v>378</v>
      </c>
      <c r="E426" t="s">
        <v>392</v>
      </c>
      <c r="F426" t="s">
        <v>375</v>
      </c>
      <c r="G426" t="s">
        <v>27</v>
      </c>
      <c r="H426" s="1" t="s">
        <v>28</v>
      </c>
      <c r="I426" t="s">
        <v>35</v>
      </c>
      <c r="J426">
        <v>120</v>
      </c>
      <c r="K426">
        <v>29.09</v>
      </c>
      <c r="L426">
        <v>3490.29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</v>
      </c>
      <c r="S426" t="s">
        <v>31</v>
      </c>
    </row>
    <row r="427" spans="1:19" x14ac:dyDescent="0.3">
      <c r="A427">
        <v>5438</v>
      </c>
      <c r="B427" t="s">
        <v>32</v>
      </c>
      <c r="C427" t="s">
        <v>23</v>
      </c>
      <c r="D427" t="s">
        <v>378</v>
      </c>
      <c r="E427" t="s">
        <v>393</v>
      </c>
      <c r="F427" t="s">
        <v>375</v>
      </c>
      <c r="G427" t="s">
        <v>27</v>
      </c>
      <c r="H427" s="1" t="s">
        <v>28</v>
      </c>
      <c r="I427" t="s">
        <v>35</v>
      </c>
      <c r="J427">
        <v>20</v>
      </c>
      <c r="K427">
        <v>157.21</v>
      </c>
      <c r="L427">
        <v>3144.19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30</v>
      </c>
      <c r="S427" t="s">
        <v>31</v>
      </c>
    </row>
    <row r="428" spans="1:19" x14ac:dyDescent="0.3">
      <c r="A428">
        <v>5439</v>
      </c>
      <c r="B428" t="s">
        <v>32</v>
      </c>
      <c r="C428" t="s">
        <v>23</v>
      </c>
      <c r="D428" t="s">
        <v>378</v>
      </c>
      <c r="E428" t="s">
        <v>394</v>
      </c>
      <c r="F428" t="s">
        <v>375</v>
      </c>
      <c r="G428" t="s">
        <v>27</v>
      </c>
      <c r="H428" s="1" t="s">
        <v>28</v>
      </c>
      <c r="I428" t="s">
        <v>35</v>
      </c>
      <c r="J428">
        <v>960</v>
      </c>
      <c r="K428">
        <v>3.17</v>
      </c>
      <c r="L428">
        <v>3044.57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</v>
      </c>
      <c r="S428" t="s">
        <v>31</v>
      </c>
    </row>
    <row r="429" spans="1:19" x14ac:dyDescent="0.3">
      <c r="A429">
        <v>5440</v>
      </c>
      <c r="B429" t="s">
        <v>32</v>
      </c>
      <c r="C429" t="s">
        <v>23</v>
      </c>
      <c r="D429" t="s">
        <v>378</v>
      </c>
      <c r="E429" t="s">
        <v>389</v>
      </c>
      <c r="F429" t="s">
        <v>375</v>
      </c>
      <c r="G429" t="s">
        <v>27</v>
      </c>
      <c r="H429" s="1" t="s">
        <v>28</v>
      </c>
      <c r="I429" t="s">
        <v>35</v>
      </c>
      <c r="J429">
        <v>90</v>
      </c>
      <c r="K429">
        <v>33.020000000000003</v>
      </c>
      <c r="L429">
        <v>2971.71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30</v>
      </c>
      <c r="S429" t="s">
        <v>31</v>
      </c>
    </row>
    <row r="430" spans="1:19" x14ac:dyDescent="0.3">
      <c r="A430">
        <v>5441</v>
      </c>
      <c r="B430" t="s">
        <v>32</v>
      </c>
      <c r="C430" t="s">
        <v>23</v>
      </c>
      <c r="D430" t="s">
        <v>378</v>
      </c>
      <c r="E430" t="s">
        <v>390</v>
      </c>
      <c r="F430" t="s">
        <v>375</v>
      </c>
      <c r="G430" t="s">
        <v>27</v>
      </c>
      <c r="H430" s="1" t="s">
        <v>28</v>
      </c>
      <c r="I430" t="s">
        <v>35</v>
      </c>
      <c r="J430">
        <v>14</v>
      </c>
      <c r="K430">
        <v>209.31</v>
      </c>
      <c r="L430">
        <v>2930.4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30</v>
      </c>
      <c r="S430" t="s">
        <v>31</v>
      </c>
    </row>
    <row r="431" spans="1:19" x14ac:dyDescent="0.3">
      <c r="A431">
        <v>5442</v>
      </c>
      <c r="B431" t="s">
        <v>32</v>
      </c>
      <c r="C431" t="s">
        <v>23</v>
      </c>
      <c r="D431" t="s">
        <v>378</v>
      </c>
      <c r="E431" t="s">
        <v>395</v>
      </c>
      <c r="F431" t="s">
        <v>375</v>
      </c>
      <c r="G431" t="s">
        <v>27</v>
      </c>
      <c r="H431" s="1" t="s">
        <v>28</v>
      </c>
      <c r="I431" t="s">
        <v>35</v>
      </c>
      <c r="J431">
        <v>480</v>
      </c>
      <c r="K431">
        <v>5.78</v>
      </c>
      <c r="L431">
        <v>2774.86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30</v>
      </c>
      <c r="S431" t="s">
        <v>31</v>
      </c>
    </row>
    <row r="432" spans="1:19" x14ac:dyDescent="0.3">
      <c r="A432">
        <v>5443</v>
      </c>
      <c r="B432" t="s">
        <v>32</v>
      </c>
      <c r="C432" t="s">
        <v>23</v>
      </c>
      <c r="D432" t="s">
        <v>378</v>
      </c>
      <c r="E432" t="s">
        <v>387</v>
      </c>
      <c r="F432" t="s">
        <v>375</v>
      </c>
      <c r="G432" t="s">
        <v>27</v>
      </c>
      <c r="H432" s="1" t="s">
        <v>28</v>
      </c>
      <c r="I432" t="s">
        <v>35</v>
      </c>
      <c r="J432">
        <v>300</v>
      </c>
      <c r="K432">
        <v>9.2100000000000009</v>
      </c>
      <c r="L432">
        <v>2762.86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30</v>
      </c>
      <c r="S432" t="s">
        <v>31</v>
      </c>
    </row>
    <row r="433" spans="1:19" x14ac:dyDescent="0.3">
      <c r="A433">
        <v>5444</v>
      </c>
      <c r="B433" t="s">
        <v>32</v>
      </c>
      <c r="C433" t="s">
        <v>23</v>
      </c>
      <c r="D433" t="s">
        <v>378</v>
      </c>
      <c r="E433" t="s">
        <v>390</v>
      </c>
      <c r="F433" t="s">
        <v>375</v>
      </c>
      <c r="G433" t="s">
        <v>27</v>
      </c>
      <c r="H433" s="1" t="s">
        <v>28</v>
      </c>
      <c r="I433" t="s">
        <v>35</v>
      </c>
      <c r="J433">
        <v>13</v>
      </c>
      <c r="K433">
        <v>209.31</v>
      </c>
      <c r="L433">
        <v>2721.09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30</v>
      </c>
      <c r="S433" t="s">
        <v>31</v>
      </c>
    </row>
    <row r="434" spans="1:19" x14ac:dyDescent="0.3">
      <c r="A434">
        <v>5445</v>
      </c>
      <c r="B434" t="s">
        <v>32</v>
      </c>
      <c r="C434" t="s">
        <v>23</v>
      </c>
      <c r="D434" t="s">
        <v>378</v>
      </c>
      <c r="E434" t="s">
        <v>391</v>
      </c>
      <c r="F434" t="s">
        <v>375</v>
      </c>
      <c r="G434" t="s">
        <v>27</v>
      </c>
      <c r="H434" s="1" t="s">
        <v>28</v>
      </c>
      <c r="I434" t="s">
        <v>35</v>
      </c>
      <c r="J434">
        <v>4</v>
      </c>
      <c r="K434">
        <v>591.05999999999995</v>
      </c>
      <c r="L434">
        <v>2364.23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30</v>
      </c>
      <c r="S434" t="s">
        <v>31</v>
      </c>
    </row>
    <row r="435" spans="1:19" x14ac:dyDescent="0.3">
      <c r="A435">
        <v>5446</v>
      </c>
      <c r="B435" t="s">
        <v>32</v>
      </c>
      <c r="C435" t="s">
        <v>23</v>
      </c>
      <c r="D435" t="s">
        <v>378</v>
      </c>
      <c r="E435" t="s">
        <v>392</v>
      </c>
      <c r="F435" t="s">
        <v>375</v>
      </c>
      <c r="G435" t="s">
        <v>27</v>
      </c>
      <c r="H435" s="1" t="s">
        <v>28</v>
      </c>
      <c r="I435" t="s">
        <v>35</v>
      </c>
      <c r="J435">
        <v>78</v>
      </c>
      <c r="K435">
        <v>29.09</v>
      </c>
      <c r="L435">
        <v>2268.69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30</v>
      </c>
      <c r="S435" t="s">
        <v>31</v>
      </c>
    </row>
    <row r="436" spans="1:19" x14ac:dyDescent="0.3">
      <c r="A436">
        <v>5447</v>
      </c>
      <c r="B436" t="s">
        <v>32</v>
      </c>
      <c r="C436" t="s">
        <v>23</v>
      </c>
      <c r="D436" t="s">
        <v>378</v>
      </c>
      <c r="E436" t="s">
        <v>387</v>
      </c>
      <c r="F436" t="s">
        <v>375</v>
      </c>
      <c r="G436" t="s">
        <v>27</v>
      </c>
      <c r="H436" s="1" t="s">
        <v>28</v>
      </c>
      <c r="I436" t="s">
        <v>35</v>
      </c>
      <c r="J436">
        <v>240</v>
      </c>
      <c r="K436">
        <v>9.2100000000000009</v>
      </c>
      <c r="L436">
        <v>2210.29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30</v>
      </c>
      <c r="S436" t="s">
        <v>31</v>
      </c>
    </row>
    <row r="437" spans="1:19" x14ac:dyDescent="0.3">
      <c r="A437">
        <v>5448</v>
      </c>
      <c r="B437" t="s">
        <v>32</v>
      </c>
      <c r="C437" t="s">
        <v>23</v>
      </c>
      <c r="D437" t="s">
        <v>378</v>
      </c>
      <c r="E437" t="s">
        <v>386</v>
      </c>
      <c r="F437" t="s">
        <v>375</v>
      </c>
      <c r="G437" t="s">
        <v>27</v>
      </c>
      <c r="H437" s="1" t="s">
        <v>28</v>
      </c>
      <c r="I437" t="s">
        <v>35</v>
      </c>
      <c r="J437">
        <v>60</v>
      </c>
      <c r="K437">
        <v>35.39</v>
      </c>
      <c r="L437">
        <v>2123.4299999999998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30</v>
      </c>
      <c r="S437" t="s">
        <v>31</v>
      </c>
    </row>
    <row r="438" spans="1:19" x14ac:dyDescent="0.3">
      <c r="A438">
        <v>5449</v>
      </c>
      <c r="B438" t="s">
        <v>32</v>
      </c>
      <c r="C438" t="s">
        <v>23</v>
      </c>
      <c r="D438" t="s">
        <v>378</v>
      </c>
      <c r="E438" t="s">
        <v>393</v>
      </c>
      <c r="F438" t="s">
        <v>375</v>
      </c>
      <c r="G438" t="s">
        <v>27</v>
      </c>
      <c r="H438" s="1" t="s">
        <v>28</v>
      </c>
      <c r="I438" t="s">
        <v>35</v>
      </c>
      <c r="J438">
        <v>13</v>
      </c>
      <c r="K438">
        <v>157.21</v>
      </c>
      <c r="L438">
        <v>2043.72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30</v>
      </c>
      <c r="S438" t="s">
        <v>31</v>
      </c>
    </row>
    <row r="439" spans="1:19" x14ac:dyDescent="0.3">
      <c r="A439">
        <v>5450</v>
      </c>
      <c r="B439" t="s">
        <v>32</v>
      </c>
      <c r="C439" t="s">
        <v>23</v>
      </c>
      <c r="D439" t="s">
        <v>378</v>
      </c>
      <c r="E439" t="s">
        <v>394</v>
      </c>
      <c r="F439" t="s">
        <v>375</v>
      </c>
      <c r="G439" t="s">
        <v>27</v>
      </c>
      <c r="H439" s="1" t="s">
        <v>28</v>
      </c>
      <c r="I439" t="s">
        <v>35</v>
      </c>
      <c r="J439">
        <v>624</v>
      </c>
      <c r="K439">
        <v>3.17</v>
      </c>
      <c r="L439">
        <v>1978.97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</v>
      </c>
      <c r="S439" t="s">
        <v>31</v>
      </c>
    </row>
    <row r="440" spans="1:19" x14ac:dyDescent="0.3">
      <c r="A440">
        <v>5451</v>
      </c>
      <c r="B440" t="s">
        <v>32</v>
      </c>
      <c r="C440" t="s">
        <v>23</v>
      </c>
      <c r="D440" t="s">
        <v>378</v>
      </c>
      <c r="E440" t="s">
        <v>396</v>
      </c>
      <c r="F440" t="s">
        <v>375</v>
      </c>
      <c r="G440" t="s">
        <v>27</v>
      </c>
      <c r="H440" s="1" t="s">
        <v>28</v>
      </c>
      <c r="I440" t="s">
        <v>35</v>
      </c>
      <c r="J440">
        <v>133</v>
      </c>
      <c r="K440">
        <v>14.17</v>
      </c>
      <c r="L440">
        <v>1884.8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30</v>
      </c>
      <c r="S440" t="s">
        <v>31</v>
      </c>
    </row>
    <row r="441" spans="1:19" x14ac:dyDescent="0.3">
      <c r="A441">
        <v>5452</v>
      </c>
      <c r="B441" t="s">
        <v>32</v>
      </c>
      <c r="C441" t="s">
        <v>23</v>
      </c>
      <c r="D441" t="s">
        <v>378</v>
      </c>
      <c r="E441" t="s">
        <v>390</v>
      </c>
      <c r="F441" t="s">
        <v>375</v>
      </c>
      <c r="G441" t="s">
        <v>27</v>
      </c>
      <c r="H441" s="1" t="s">
        <v>28</v>
      </c>
      <c r="I441" t="s">
        <v>35</v>
      </c>
      <c r="J441">
        <v>9</v>
      </c>
      <c r="K441">
        <v>209.31</v>
      </c>
      <c r="L441">
        <v>1883.83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</v>
      </c>
      <c r="S441" t="s">
        <v>31</v>
      </c>
    </row>
    <row r="442" spans="1:19" x14ac:dyDescent="0.3">
      <c r="A442">
        <v>5453</v>
      </c>
      <c r="B442" t="s">
        <v>32</v>
      </c>
      <c r="C442" t="s">
        <v>23</v>
      </c>
      <c r="D442" t="s">
        <v>378</v>
      </c>
      <c r="E442" t="s">
        <v>395</v>
      </c>
      <c r="F442" t="s">
        <v>375</v>
      </c>
      <c r="G442" t="s">
        <v>27</v>
      </c>
      <c r="H442" s="1" t="s">
        <v>28</v>
      </c>
      <c r="I442" t="s">
        <v>35</v>
      </c>
      <c r="J442">
        <v>312</v>
      </c>
      <c r="K442">
        <v>5.78</v>
      </c>
      <c r="L442">
        <v>1803.66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30</v>
      </c>
      <c r="S442" t="s">
        <v>31</v>
      </c>
    </row>
    <row r="443" spans="1:19" x14ac:dyDescent="0.3">
      <c r="A443">
        <v>5454</v>
      </c>
      <c r="B443" t="s">
        <v>32</v>
      </c>
      <c r="C443" t="s">
        <v>23</v>
      </c>
      <c r="D443" t="s">
        <v>378</v>
      </c>
      <c r="E443" t="s">
        <v>392</v>
      </c>
      <c r="F443" t="s">
        <v>375</v>
      </c>
      <c r="G443" t="s">
        <v>27</v>
      </c>
      <c r="H443" s="1" t="s">
        <v>28</v>
      </c>
      <c r="I443" t="s">
        <v>35</v>
      </c>
      <c r="J443">
        <v>62</v>
      </c>
      <c r="K443">
        <v>29.09</v>
      </c>
      <c r="L443">
        <v>1803.31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30</v>
      </c>
      <c r="S443" t="s">
        <v>31</v>
      </c>
    </row>
    <row r="444" spans="1:19" x14ac:dyDescent="0.3">
      <c r="A444">
        <v>5455</v>
      </c>
      <c r="B444" t="s">
        <v>32</v>
      </c>
      <c r="C444" t="s">
        <v>23</v>
      </c>
      <c r="D444" t="s">
        <v>378</v>
      </c>
      <c r="E444" t="s">
        <v>397</v>
      </c>
      <c r="F444" t="s">
        <v>375</v>
      </c>
      <c r="G444" t="s">
        <v>27</v>
      </c>
      <c r="H444" s="1" t="s">
        <v>28</v>
      </c>
      <c r="I444" t="s">
        <v>35</v>
      </c>
      <c r="J444">
        <v>10</v>
      </c>
      <c r="K444">
        <v>177.44</v>
      </c>
      <c r="L444">
        <v>1774.38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30</v>
      </c>
      <c r="S444" t="s">
        <v>31</v>
      </c>
    </row>
    <row r="445" spans="1:19" x14ac:dyDescent="0.3">
      <c r="A445">
        <v>5456</v>
      </c>
      <c r="B445" t="s">
        <v>32</v>
      </c>
      <c r="C445" t="s">
        <v>23</v>
      </c>
      <c r="D445" t="s">
        <v>378</v>
      </c>
      <c r="E445" t="s">
        <v>392</v>
      </c>
      <c r="F445" t="s">
        <v>375</v>
      </c>
      <c r="G445" t="s">
        <v>27</v>
      </c>
      <c r="H445" s="1" t="s">
        <v>28</v>
      </c>
      <c r="I445" t="s">
        <v>35</v>
      </c>
      <c r="J445">
        <v>56</v>
      </c>
      <c r="K445">
        <v>29.09</v>
      </c>
      <c r="L445">
        <v>1628.8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30</v>
      </c>
      <c r="S445" t="s">
        <v>31</v>
      </c>
    </row>
    <row r="446" spans="1:19" x14ac:dyDescent="0.3">
      <c r="A446">
        <v>5457</v>
      </c>
      <c r="B446" t="s">
        <v>32</v>
      </c>
      <c r="C446" t="s">
        <v>23</v>
      </c>
      <c r="D446" t="s">
        <v>378</v>
      </c>
      <c r="E446" t="s">
        <v>394</v>
      </c>
      <c r="F446" t="s">
        <v>375</v>
      </c>
      <c r="G446" t="s">
        <v>27</v>
      </c>
      <c r="H446" s="1" t="s">
        <v>28</v>
      </c>
      <c r="I446" t="s">
        <v>35</v>
      </c>
      <c r="J446">
        <v>496</v>
      </c>
      <c r="K446">
        <v>3.17</v>
      </c>
      <c r="L446">
        <v>1573.03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30</v>
      </c>
      <c r="S446" t="s">
        <v>31</v>
      </c>
    </row>
    <row r="447" spans="1:19" x14ac:dyDescent="0.3">
      <c r="A447">
        <v>5458</v>
      </c>
      <c r="B447" t="s">
        <v>32</v>
      </c>
      <c r="C447" t="s">
        <v>23</v>
      </c>
      <c r="D447" t="s">
        <v>378</v>
      </c>
      <c r="E447" t="s">
        <v>398</v>
      </c>
      <c r="F447" t="s">
        <v>375</v>
      </c>
      <c r="G447" t="s">
        <v>27</v>
      </c>
      <c r="H447" s="1" t="s">
        <v>28</v>
      </c>
      <c r="I447" t="s">
        <v>35</v>
      </c>
      <c r="J447">
        <v>14</v>
      </c>
      <c r="K447">
        <v>107.81</v>
      </c>
      <c r="L447">
        <v>1509.33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30</v>
      </c>
      <c r="S447" t="s">
        <v>31</v>
      </c>
    </row>
    <row r="448" spans="1:19" x14ac:dyDescent="0.3">
      <c r="A448">
        <v>5459</v>
      </c>
      <c r="B448" t="s">
        <v>32</v>
      </c>
      <c r="C448" t="s">
        <v>23</v>
      </c>
      <c r="D448" t="s">
        <v>378</v>
      </c>
      <c r="E448" t="s">
        <v>394</v>
      </c>
      <c r="F448" t="s">
        <v>375</v>
      </c>
      <c r="G448" t="s">
        <v>27</v>
      </c>
      <c r="H448" s="1" t="s">
        <v>28</v>
      </c>
      <c r="I448" t="s">
        <v>35</v>
      </c>
      <c r="J448">
        <v>448</v>
      </c>
      <c r="K448">
        <v>3.17</v>
      </c>
      <c r="L448">
        <v>1420.8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30</v>
      </c>
      <c r="S448" t="s">
        <v>31</v>
      </c>
    </row>
    <row r="449" spans="1:19" x14ac:dyDescent="0.3">
      <c r="A449">
        <v>5460</v>
      </c>
      <c r="B449" t="s">
        <v>32</v>
      </c>
      <c r="C449" t="s">
        <v>23</v>
      </c>
      <c r="D449" t="s">
        <v>378</v>
      </c>
      <c r="E449" t="s">
        <v>395</v>
      </c>
      <c r="F449" t="s">
        <v>375</v>
      </c>
      <c r="G449" t="s">
        <v>27</v>
      </c>
      <c r="H449" s="1" t="s">
        <v>28</v>
      </c>
      <c r="I449" t="s">
        <v>35</v>
      </c>
      <c r="J449">
        <v>224</v>
      </c>
      <c r="K449">
        <v>5.78</v>
      </c>
      <c r="L449">
        <v>1294.93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</v>
      </c>
      <c r="S449" t="s">
        <v>31</v>
      </c>
    </row>
    <row r="450" spans="1:19" x14ac:dyDescent="0.3">
      <c r="A450">
        <v>5461</v>
      </c>
      <c r="B450" t="s">
        <v>32</v>
      </c>
      <c r="C450" t="s">
        <v>23</v>
      </c>
      <c r="D450" t="s">
        <v>378</v>
      </c>
      <c r="E450" t="s">
        <v>396</v>
      </c>
      <c r="F450" t="s">
        <v>375</v>
      </c>
      <c r="G450" t="s">
        <v>27</v>
      </c>
      <c r="H450" s="1" t="s">
        <v>28</v>
      </c>
      <c r="I450" t="s">
        <v>35</v>
      </c>
      <c r="J450">
        <v>87</v>
      </c>
      <c r="K450">
        <v>14.17</v>
      </c>
      <c r="L450">
        <v>1232.9100000000001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30</v>
      </c>
      <c r="S450" t="s">
        <v>31</v>
      </c>
    </row>
    <row r="451" spans="1:19" x14ac:dyDescent="0.3">
      <c r="A451">
        <v>5462</v>
      </c>
      <c r="B451" t="s">
        <v>32</v>
      </c>
      <c r="C451" t="s">
        <v>23</v>
      </c>
      <c r="D451" t="s">
        <v>378</v>
      </c>
      <c r="E451" t="s">
        <v>396</v>
      </c>
      <c r="F451" t="s">
        <v>375</v>
      </c>
      <c r="G451" t="s">
        <v>27</v>
      </c>
      <c r="H451" s="1" t="s">
        <v>28</v>
      </c>
      <c r="I451" t="s">
        <v>35</v>
      </c>
      <c r="J451">
        <v>84</v>
      </c>
      <c r="K451">
        <v>14.17</v>
      </c>
      <c r="L451">
        <v>1190.4000000000001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30</v>
      </c>
      <c r="S451" t="s">
        <v>31</v>
      </c>
    </row>
    <row r="452" spans="1:19" x14ac:dyDescent="0.3">
      <c r="A452">
        <v>5463</v>
      </c>
      <c r="B452" t="s">
        <v>32</v>
      </c>
      <c r="C452" t="s">
        <v>23</v>
      </c>
      <c r="D452" t="s">
        <v>378</v>
      </c>
      <c r="E452" t="s">
        <v>399</v>
      </c>
      <c r="F452" t="s">
        <v>375</v>
      </c>
      <c r="G452" t="s">
        <v>27</v>
      </c>
      <c r="H452" s="1" t="s">
        <v>28</v>
      </c>
      <c r="I452" t="s">
        <v>35</v>
      </c>
      <c r="J452">
        <v>14</v>
      </c>
      <c r="K452">
        <v>83.12</v>
      </c>
      <c r="L452">
        <v>1163.73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30</v>
      </c>
      <c r="S452" t="s">
        <v>31</v>
      </c>
    </row>
    <row r="453" spans="1:19" x14ac:dyDescent="0.3">
      <c r="A453">
        <v>5464</v>
      </c>
      <c r="B453" t="s">
        <v>32</v>
      </c>
      <c r="C453" t="s">
        <v>23</v>
      </c>
      <c r="D453" t="s">
        <v>378</v>
      </c>
      <c r="E453" t="s">
        <v>400</v>
      </c>
      <c r="F453" t="s">
        <v>375</v>
      </c>
      <c r="G453" t="s">
        <v>27</v>
      </c>
      <c r="H453" s="1" t="s">
        <v>28</v>
      </c>
      <c r="I453" t="s">
        <v>35</v>
      </c>
      <c r="J453">
        <v>190</v>
      </c>
      <c r="K453">
        <v>6.04</v>
      </c>
      <c r="L453">
        <v>1147.24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30</v>
      </c>
      <c r="S453" t="s">
        <v>31</v>
      </c>
    </row>
    <row r="454" spans="1:19" x14ac:dyDescent="0.3">
      <c r="A454">
        <v>5465</v>
      </c>
      <c r="B454" t="s">
        <v>32</v>
      </c>
      <c r="C454" t="s">
        <v>23</v>
      </c>
      <c r="D454" t="s">
        <v>378</v>
      </c>
      <c r="E454" t="s">
        <v>400</v>
      </c>
      <c r="F454" t="s">
        <v>375</v>
      </c>
      <c r="G454" t="s">
        <v>27</v>
      </c>
      <c r="H454" s="1" t="s">
        <v>28</v>
      </c>
      <c r="I454" t="s">
        <v>35</v>
      </c>
      <c r="J454">
        <v>190</v>
      </c>
      <c r="K454">
        <v>6.04</v>
      </c>
      <c r="L454">
        <v>1147.24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30</v>
      </c>
      <c r="S454" t="s">
        <v>31</v>
      </c>
    </row>
    <row r="455" spans="1:19" x14ac:dyDescent="0.3">
      <c r="A455">
        <v>5466</v>
      </c>
      <c r="B455" t="s">
        <v>32</v>
      </c>
      <c r="C455" t="s">
        <v>23</v>
      </c>
      <c r="D455" t="s">
        <v>378</v>
      </c>
      <c r="E455" t="s">
        <v>401</v>
      </c>
      <c r="F455" t="s">
        <v>375</v>
      </c>
      <c r="G455" t="s">
        <v>27</v>
      </c>
      <c r="H455" s="1" t="s">
        <v>28</v>
      </c>
      <c r="I455" t="s">
        <v>35</v>
      </c>
      <c r="J455">
        <v>380</v>
      </c>
      <c r="K455">
        <v>3.01</v>
      </c>
      <c r="L455">
        <v>1143.6199999999999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30</v>
      </c>
      <c r="S455" t="s">
        <v>31</v>
      </c>
    </row>
    <row r="456" spans="1:19" x14ac:dyDescent="0.3">
      <c r="A456">
        <v>5467</v>
      </c>
      <c r="B456" t="s">
        <v>32</v>
      </c>
      <c r="C456" t="s">
        <v>23</v>
      </c>
      <c r="D456" t="s">
        <v>378</v>
      </c>
      <c r="E456" t="s">
        <v>401</v>
      </c>
      <c r="F456" t="s">
        <v>375</v>
      </c>
      <c r="G456" t="s">
        <v>27</v>
      </c>
      <c r="H456" s="1" t="s">
        <v>28</v>
      </c>
      <c r="I456" t="s">
        <v>35</v>
      </c>
      <c r="J456">
        <v>380</v>
      </c>
      <c r="K456">
        <v>3.01</v>
      </c>
      <c r="L456">
        <v>1143.6199999999999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30</v>
      </c>
      <c r="S456" t="s">
        <v>31</v>
      </c>
    </row>
    <row r="457" spans="1:19" x14ac:dyDescent="0.3">
      <c r="A457">
        <v>5468</v>
      </c>
      <c r="B457" t="s">
        <v>32</v>
      </c>
      <c r="C457" t="s">
        <v>23</v>
      </c>
      <c r="D457" t="s">
        <v>378</v>
      </c>
      <c r="E457" t="s">
        <v>402</v>
      </c>
      <c r="F457" t="s">
        <v>375</v>
      </c>
      <c r="G457" t="s">
        <v>27</v>
      </c>
      <c r="H457" s="1" t="s">
        <v>28</v>
      </c>
      <c r="I457" t="s">
        <v>35</v>
      </c>
      <c r="J457">
        <v>120</v>
      </c>
      <c r="K457">
        <v>9.4700000000000006</v>
      </c>
      <c r="L457">
        <v>1136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30</v>
      </c>
      <c r="S457" t="s">
        <v>31</v>
      </c>
    </row>
    <row r="458" spans="1:19" x14ac:dyDescent="0.3">
      <c r="A458">
        <v>5469</v>
      </c>
      <c r="B458" t="s">
        <v>32</v>
      </c>
      <c r="C458" t="s">
        <v>23</v>
      </c>
      <c r="D458" t="s">
        <v>378</v>
      </c>
      <c r="E458" t="s">
        <v>397</v>
      </c>
      <c r="F458" t="s">
        <v>375</v>
      </c>
      <c r="G458" t="s">
        <v>27</v>
      </c>
      <c r="H458" s="1" t="s">
        <v>28</v>
      </c>
      <c r="I458" t="s">
        <v>35</v>
      </c>
      <c r="J458">
        <v>6</v>
      </c>
      <c r="K458">
        <v>177.44</v>
      </c>
      <c r="L458">
        <v>1064.6300000000001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30</v>
      </c>
      <c r="S458" t="s">
        <v>31</v>
      </c>
    </row>
    <row r="459" spans="1:19" x14ac:dyDescent="0.3">
      <c r="A459">
        <v>5470</v>
      </c>
      <c r="B459" t="s">
        <v>32</v>
      </c>
      <c r="C459" t="s">
        <v>23</v>
      </c>
      <c r="D459" t="s">
        <v>378</v>
      </c>
      <c r="E459" t="s">
        <v>403</v>
      </c>
      <c r="F459" t="s">
        <v>375</v>
      </c>
      <c r="G459" t="s">
        <v>27</v>
      </c>
      <c r="H459" s="1" t="s">
        <v>28</v>
      </c>
      <c r="I459" t="s">
        <v>35</v>
      </c>
      <c r="J459">
        <v>168</v>
      </c>
      <c r="K459">
        <v>5.78</v>
      </c>
      <c r="L459">
        <v>971.2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30</v>
      </c>
      <c r="S459" t="s">
        <v>31</v>
      </c>
    </row>
    <row r="460" spans="1:19" x14ac:dyDescent="0.3">
      <c r="A460">
        <v>5471</v>
      </c>
      <c r="B460" t="s">
        <v>32</v>
      </c>
      <c r="C460" t="s">
        <v>23</v>
      </c>
      <c r="D460" t="s">
        <v>378</v>
      </c>
      <c r="E460" t="s">
        <v>398</v>
      </c>
      <c r="F460" t="s">
        <v>375</v>
      </c>
      <c r="G460" t="s">
        <v>27</v>
      </c>
      <c r="H460" s="1" t="s">
        <v>28</v>
      </c>
      <c r="I460" t="s">
        <v>35</v>
      </c>
      <c r="J460">
        <v>9</v>
      </c>
      <c r="K460">
        <v>107.81</v>
      </c>
      <c r="L460">
        <v>970.29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30</v>
      </c>
      <c r="S460" t="s">
        <v>31</v>
      </c>
    </row>
    <row r="461" spans="1:19" x14ac:dyDescent="0.3">
      <c r="A461">
        <v>5472</v>
      </c>
      <c r="B461" t="s">
        <v>32</v>
      </c>
      <c r="C461" t="s">
        <v>23</v>
      </c>
      <c r="D461" t="s">
        <v>378</v>
      </c>
      <c r="E461" t="s">
        <v>396</v>
      </c>
      <c r="F461" t="s">
        <v>375</v>
      </c>
      <c r="G461" t="s">
        <v>27</v>
      </c>
      <c r="H461" s="1" t="s">
        <v>28</v>
      </c>
      <c r="I461" t="s">
        <v>35</v>
      </c>
      <c r="J461">
        <v>65</v>
      </c>
      <c r="K461">
        <v>14.17</v>
      </c>
      <c r="L461">
        <v>921.14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30</v>
      </c>
      <c r="S461" t="s">
        <v>31</v>
      </c>
    </row>
    <row r="462" spans="1:19" x14ac:dyDescent="0.3">
      <c r="A462">
        <v>5473</v>
      </c>
      <c r="B462" t="s">
        <v>32</v>
      </c>
      <c r="C462" t="s">
        <v>23</v>
      </c>
      <c r="D462" t="s">
        <v>378</v>
      </c>
      <c r="E462" t="s">
        <v>392</v>
      </c>
      <c r="F462" t="s">
        <v>375</v>
      </c>
      <c r="G462" t="s">
        <v>27</v>
      </c>
      <c r="H462" s="1" t="s">
        <v>28</v>
      </c>
      <c r="I462" t="s">
        <v>35</v>
      </c>
      <c r="J462">
        <v>28</v>
      </c>
      <c r="K462">
        <v>29.09</v>
      </c>
      <c r="L462">
        <v>814.4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</v>
      </c>
      <c r="S462" t="s">
        <v>31</v>
      </c>
    </row>
    <row r="463" spans="1:19" x14ac:dyDescent="0.3">
      <c r="A463">
        <v>5474</v>
      </c>
      <c r="B463" t="s">
        <v>32</v>
      </c>
      <c r="C463" t="s">
        <v>23</v>
      </c>
      <c r="D463" t="s">
        <v>378</v>
      </c>
      <c r="E463" t="s">
        <v>402</v>
      </c>
      <c r="F463" t="s">
        <v>375</v>
      </c>
      <c r="G463" t="s">
        <v>27</v>
      </c>
      <c r="H463" s="1" t="s">
        <v>28</v>
      </c>
      <c r="I463" t="s">
        <v>35</v>
      </c>
      <c r="J463">
        <v>84</v>
      </c>
      <c r="K463">
        <v>9.4700000000000006</v>
      </c>
      <c r="L463">
        <v>795.2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30</v>
      </c>
      <c r="S463" t="s">
        <v>31</v>
      </c>
    </row>
    <row r="464" spans="1:19" x14ac:dyDescent="0.3">
      <c r="A464">
        <v>5475</v>
      </c>
      <c r="B464" t="s">
        <v>32</v>
      </c>
      <c r="C464" t="s">
        <v>23</v>
      </c>
      <c r="D464" t="s">
        <v>378</v>
      </c>
      <c r="E464" t="s">
        <v>400</v>
      </c>
      <c r="F464" t="s">
        <v>375</v>
      </c>
      <c r="G464" t="s">
        <v>27</v>
      </c>
      <c r="H464" s="1" t="s">
        <v>28</v>
      </c>
      <c r="I464" t="s">
        <v>35</v>
      </c>
      <c r="J464">
        <v>130</v>
      </c>
      <c r="K464">
        <v>6.04</v>
      </c>
      <c r="L464">
        <v>784.95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</v>
      </c>
      <c r="S464" t="s">
        <v>31</v>
      </c>
    </row>
    <row r="465" spans="1:19" x14ac:dyDescent="0.3">
      <c r="A465">
        <v>5476</v>
      </c>
      <c r="B465" t="s">
        <v>32</v>
      </c>
      <c r="C465" t="s">
        <v>23</v>
      </c>
      <c r="D465" t="s">
        <v>378</v>
      </c>
      <c r="E465" t="s">
        <v>400</v>
      </c>
      <c r="F465" t="s">
        <v>375</v>
      </c>
      <c r="G465" t="s">
        <v>27</v>
      </c>
      <c r="H465" s="1" t="s">
        <v>28</v>
      </c>
      <c r="I465" t="s">
        <v>35</v>
      </c>
      <c r="J465">
        <v>130</v>
      </c>
      <c r="K465">
        <v>6.04</v>
      </c>
      <c r="L465">
        <v>784.95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30</v>
      </c>
      <c r="S465" t="s">
        <v>31</v>
      </c>
    </row>
    <row r="466" spans="1:19" x14ac:dyDescent="0.3">
      <c r="A466">
        <v>5477</v>
      </c>
      <c r="B466" t="s">
        <v>32</v>
      </c>
      <c r="C466" t="s">
        <v>23</v>
      </c>
      <c r="D466" t="s">
        <v>378</v>
      </c>
      <c r="E466" t="s">
        <v>401</v>
      </c>
      <c r="F466" t="s">
        <v>375</v>
      </c>
      <c r="G466" t="s">
        <v>27</v>
      </c>
      <c r="H466" s="1" t="s">
        <v>28</v>
      </c>
      <c r="I466" t="s">
        <v>35</v>
      </c>
      <c r="J466">
        <v>260</v>
      </c>
      <c r="K466">
        <v>3.01</v>
      </c>
      <c r="L466">
        <v>782.48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</v>
      </c>
      <c r="S466" t="s">
        <v>31</v>
      </c>
    </row>
    <row r="467" spans="1:19" x14ac:dyDescent="0.3">
      <c r="A467">
        <v>5478</v>
      </c>
      <c r="B467" t="s">
        <v>32</v>
      </c>
      <c r="C467" t="s">
        <v>23</v>
      </c>
      <c r="D467" t="s">
        <v>378</v>
      </c>
      <c r="E467" t="s">
        <v>401</v>
      </c>
      <c r="F467" t="s">
        <v>375</v>
      </c>
      <c r="G467" t="s">
        <v>27</v>
      </c>
      <c r="H467" s="1" t="s">
        <v>28</v>
      </c>
      <c r="I467" t="s">
        <v>35</v>
      </c>
      <c r="J467">
        <v>260</v>
      </c>
      <c r="K467">
        <v>3.01</v>
      </c>
      <c r="L467">
        <v>782.48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30</v>
      </c>
      <c r="S467" t="s">
        <v>31</v>
      </c>
    </row>
    <row r="468" spans="1:19" x14ac:dyDescent="0.3">
      <c r="A468">
        <v>5479</v>
      </c>
      <c r="B468" t="s">
        <v>32</v>
      </c>
      <c r="C468" t="s">
        <v>23</v>
      </c>
      <c r="D468" t="s">
        <v>378</v>
      </c>
      <c r="E468" t="s">
        <v>399</v>
      </c>
      <c r="F468" t="s">
        <v>375</v>
      </c>
      <c r="G468" t="s">
        <v>27</v>
      </c>
      <c r="H468" s="1" t="s">
        <v>28</v>
      </c>
      <c r="I468" t="s">
        <v>35</v>
      </c>
      <c r="J468">
        <v>9</v>
      </c>
      <c r="K468">
        <v>83.12</v>
      </c>
      <c r="L468">
        <v>748.11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30</v>
      </c>
      <c r="S468" t="s">
        <v>31</v>
      </c>
    </row>
    <row r="469" spans="1:19" x14ac:dyDescent="0.3">
      <c r="A469">
        <v>5480</v>
      </c>
      <c r="B469" t="s">
        <v>32</v>
      </c>
      <c r="C469" t="s">
        <v>23</v>
      </c>
      <c r="D469" t="s">
        <v>378</v>
      </c>
      <c r="E469" t="s">
        <v>402</v>
      </c>
      <c r="F469" t="s">
        <v>375</v>
      </c>
      <c r="G469" t="s">
        <v>27</v>
      </c>
      <c r="H469" s="1" t="s">
        <v>28</v>
      </c>
      <c r="I469" t="s">
        <v>35</v>
      </c>
      <c r="J469">
        <v>78</v>
      </c>
      <c r="K469">
        <v>9.4700000000000006</v>
      </c>
      <c r="L469">
        <v>738.4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30</v>
      </c>
      <c r="S469" t="s">
        <v>31</v>
      </c>
    </row>
    <row r="470" spans="1:19" x14ac:dyDescent="0.3">
      <c r="A470">
        <v>5481</v>
      </c>
      <c r="B470" t="s">
        <v>32</v>
      </c>
      <c r="C470" t="s">
        <v>23</v>
      </c>
      <c r="D470" t="s">
        <v>378</v>
      </c>
      <c r="E470" t="s">
        <v>396</v>
      </c>
      <c r="F470" t="s">
        <v>375</v>
      </c>
      <c r="G470" t="s">
        <v>27</v>
      </c>
      <c r="H470" s="1" t="s">
        <v>28</v>
      </c>
      <c r="I470" t="s">
        <v>35</v>
      </c>
      <c r="J470">
        <v>52</v>
      </c>
      <c r="K470">
        <v>14.17</v>
      </c>
      <c r="L470">
        <v>736.91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</v>
      </c>
      <c r="S470" t="s">
        <v>31</v>
      </c>
    </row>
    <row r="471" spans="1:19" x14ac:dyDescent="0.3">
      <c r="A471">
        <v>5482</v>
      </c>
      <c r="B471" t="s">
        <v>32</v>
      </c>
      <c r="C471" t="s">
        <v>23</v>
      </c>
      <c r="D471" t="s">
        <v>378</v>
      </c>
      <c r="E471" t="s">
        <v>400</v>
      </c>
      <c r="F471" t="s">
        <v>375</v>
      </c>
      <c r="G471" t="s">
        <v>27</v>
      </c>
      <c r="H471" s="1" t="s">
        <v>28</v>
      </c>
      <c r="I471" t="s">
        <v>35</v>
      </c>
      <c r="J471">
        <v>120</v>
      </c>
      <c r="K471">
        <v>6.04</v>
      </c>
      <c r="L471">
        <v>724.57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</v>
      </c>
      <c r="S471" t="s">
        <v>31</v>
      </c>
    </row>
    <row r="472" spans="1:19" x14ac:dyDescent="0.3">
      <c r="A472">
        <v>5483</v>
      </c>
      <c r="B472" t="s">
        <v>32</v>
      </c>
      <c r="C472" t="s">
        <v>23</v>
      </c>
      <c r="D472" t="s">
        <v>378</v>
      </c>
      <c r="E472" t="s">
        <v>401</v>
      </c>
      <c r="F472" t="s">
        <v>375</v>
      </c>
      <c r="G472" t="s">
        <v>27</v>
      </c>
      <c r="H472" s="1" t="s">
        <v>28</v>
      </c>
      <c r="I472" t="s">
        <v>35</v>
      </c>
      <c r="J472">
        <v>240</v>
      </c>
      <c r="K472">
        <v>3.01</v>
      </c>
      <c r="L472">
        <v>722.29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30</v>
      </c>
      <c r="S472" t="s">
        <v>31</v>
      </c>
    </row>
    <row r="473" spans="1:19" x14ac:dyDescent="0.3">
      <c r="A473">
        <v>5484</v>
      </c>
      <c r="B473" t="s">
        <v>32</v>
      </c>
      <c r="C473" t="s">
        <v>23</v>
      </c>
      <c r="D473" t="s">
        <v>378</v>
      </c>
      <c r="E473" t="s">
        <v>404</v>
      </c>
      <c r="F473" t="s">
        <v>375</v>
      </c>
      <c r="G473" t="s">
        <v>27</v>
      </c>
      <c r="H473" s="1" t="s">
        <v>28</v>
      </c>
      <c r="I473" t="s">
        <v>35</v>
      </c>
      <c r="J473">
        <v>20</v>
      </c>
      <c r="K473">
        <v>35.729999999999997</v>
      </c>
      <c r="L473">
        <v>714.67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30</v>
      </c>
      <c r="S473" t="s">
        <v>31</v>
      </c>
    </row>
    <row r="474" spans="1:19" x14ac:dyDescent="0.3">
      <c r="A474">
        <v>5485</v>
      </c>
      <c r="B474" t="s">
        <v>32</v>
      </c>
      <c r="C474" t="s">
        <v>23</v>
      </c>
      <c r="D474" t="s">
        <v>378</v>
      </c>
      <c r="E474" t="s">
        <v>404</v>
      </c>
      <c r="F474" t="s">
        <v>375</v>
      </c>
      <c r="G474" t="s">
        <v>27</v>
      </c>
      <c r="H474" s="1" t="s">
        <v>28</v>
      </c>
      <c r="I474" t="s">
        <v>35</v>
      </c>
      <c r="J474">
        <v>20</v>
      </c>
      <c r="K474">
        <v>35.729999999999997</v>
      </c>
      <c r="L474">
        <v>714.67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30</v>
      </c>
      <c r="S474" t="s">
        <v>31</v>
      </c>
    </row>
    <row r="475" spans="1:19" x14ac:dyDescent="0.3">
      <c r="A475">
        <v>5486</v>
      </c>
      <c r="B475" t="s">
        <v>32</v>
      </c>
      <c r="C475" t="s">
        <v>23</v>
      </c>
      <c r="D475" t="s">
        <v>378</v>
      </c>
      <c r="E475" t="s">
        <v>394</v>
      </c>
      <c r="F475" t="s">
        <v>375</v>
      </c>
      <c r="G475" t="s">
        <v>27</v>
      </c>
      <c r="H475" s="1" t="s">
        <v>28</v>
      </c>
      <c r="I475" t="s">
        <v>35</v>
      </c>
      <c r="J475">
        <v>224</v>
      </c>
      <c r="K475">
        <v>3.17</v>
      </c>
      <c r="L475">
        <v>710.4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30</v>
      </c>
      <c r="S475" t="s">
        <v>31</v>
      </c>
    </row>
    <row r="476" spans="1:19" x14ac:dyDescent="0.3">
      <c r="A476">
        <v>5487</v>
      </c>
      <c r="B476" t="s">
        <v>32</v>
      </c>
      <c r="C476" t="s">
        <v>23</v>
      </c>
      <c r="D476" t="s">
        <v>378</v>
      </c>
      <c r="E476" t="s">
        <v>395</v>
      </c>
      <c r="F476" t="s">
        <v>375</v>
      </c>
      <c r="G476" t="s">
        <v>27</v>
      </c>
      <c r="H476" s="1" t="s">
        <v>28</v>
      </c>
      <c r="I476" t="s">
        <v>35</v>
      </c>
      <c r="J476">
        <v>112</v>
      </c>
      <c r="K476">
        <v>5.78</v>
      </c>
      <c r="L476">
        <v>647.47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30</v>
      </c>
      <c r="S476" t="s">
        <v>31</v>
      </c>
    </row>
    <row r="477" spans="1:19" x14ac:dyDescent="0.3">
      <c r="A477">
        <v>5488</v>
      </c>
      <c r="B477" t="s">
        <v>32</v>
      </c>
      <c r="C477" t="s">
        <v>23</v>
      </c>
      <c r="D477" t="s">
        <v>378</v>
      </c>
      <c r="E477" t="s">
        <v>405</v>
      </c>
      <c r="F477" t="s">
        <v>375</v>
      </c>
      <c r="G477" t="s">
        <v>27</v>
      </c>
      <c r="H477" s="1" t="s">
        <v>28</v>
      </c>
      <c r="I477" t="s">
        <v>35</v>
      </c>
      <c r="J477">
        <v>35</v>
      </c>
      <c r="K477">
        <v>16.170000000000002</v>
      </c>
      <c r="L477">
        <v>566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</v>
      </c>
      <c r="S477" t="s">
        <v>31</v>
      </c>
    </row>
    <row r="478" spans="1:19" x14ac:dyDescent="0.3">
      <c r="A478">
        <v>5489</v>
      </c>
      <c r="B478" t="s">
        <v>32</v>
      </c>
      <c r="C478" t="s">
        <v>23</v>
      </c>
      <c r="D478" t="s">
        <v>378</v>
      </c>
      <c r="E478" t="s">
        <v>406</v>
      </c>
      <c r="F478" t="s">
        <v>375</v>
      </c>
      <c r="G478" t="s">
        <v>27</v>
      </c>
      <c r="H478" s="1" t="s">
        <v>28</v>
      </c>
      <c r="I478" t="s">
        <v>35</v>
      </c>
      <c r="J478">
        <v>10</v>
      </c>
      <c r="K478">
        <v>54.99</v>
      </c>
      <c r="L478">
        <v>549.9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30</v>
      </c>
      <c r="S478" t="s">
        <v>31</v>
      </c>
    </row>
    <row r="479" spans="1:19" x14ac:dyDescent="0.3">
      <c r="A479">
        <v>5490</v>
      </c>
      <c r="B479" t="s">
        <v>32</v>
      </c>
      <c r="C479" t="s">
        <v>23</v>
      </c>
      <c r="D479" t="s">
        <v>378</v>
      </c>
      <c r="E479" t="s">
        <v>407</v>
      </c>
      <c r="F479" t="s">
        <v>375</v>
      </c>
      <c r="G479" t="s">
        <v>27</v>
      </c>
      <c r="H479" s="1" t="s">
        <v>28</v>
      </c>
      <c r="I479" t="s">
        <v>35</v>
      </c>
      <c r="J479">
        <v>70</v>
      </c>
      <c r="K479">
        <v>7.72</v>
      </c>
      <c r="L479">
        <v>540.66999999999996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30</v>
      </c>
      <c r="S479" t="s">
        <v>31</v>
      </c>
    </row>
    <row r="480" spans="1:19" x14ac:dyDescent="0.3">
      <c r="A480">
        <v>5491</v>
      </c>
      <c r="B480" t="s">
        <v>32</v>
      </c>
      <c r="C480" t="s">
        <v>23</v>
      </c>
      <c r="D480" t="s">
        <v>378</v>
      </c>
      <c r="E480" t="s">
        <v>407</v>
      </c>
      <c r="F480" t="s">
        <v>375</v>
      </c>
      <c r="G480" t="s">
        <v>27</v>
      </c>
      <c r="H480" s="1" t="s">
        <v>28</v>
      </c>
      <c r="I480" t="s">
        <v>35</v>
      </c>
      <c r="J480">
        <v>70</v>
      </c>
      <c r="K480">
        <v>7.72</v>
      </c>
      <c r="L480">
        <v>540.66999999999996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30</v>
      </c>
      <c r="S480" t="s">
        <v>31</v>
      </c>
    </row>
    <row r="481" spans="1:19" x14ac:dyDescent="0.3">
      <c r="A481">
        <v>5492</v>
      </c>
      <c r="B481" t="s">
        <v>32</v>
      </c>
      <c r="C481" t="s">
        <v>23</v>
      </c>
      <c r="D481" t="s">
        <v>378</v>
      </c>
      <c r="E481" t="s">
        <v>408</v>
      </c>
      <c r="F481" t="s">
        <v>375</v>
      </c>
      <c r="G481" t="s">
        <v>27</v>
      </c>
      <c r="H481" s="1" t="s">
        <v>28</v>
      </c>
      <c r="I481" t="s">
        <v>35</v>
      </c>
      <c r="J481">
        <v>120</v>
      </c>
      <c r="K481">
        <v>4.29</v>
      </c>
      <c r="L481">
        <v>514.29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</v>
      </c>
      <c r="S481" t="s">
        <v>31</v>
      </c>
    </row>
    <row r="482" spans="1:19" x14ac:dyDescent="0.3">
      <c r="A482">
        <v>5493</v>
      </c>
      <c r="B482" t="s">
        <v>32</v>
      </c>
      <c r="C482" t="s">
        <v>23</v>
      </c>
      <c r="D482" t="s">
        <v>378</v>
      </c>
      <c r="E482" t="s">
        <v>402</v>
      </c>
      <c r="F482" t="s">
        <v>375</v>
      </c>
      <c r="G482" t="s">
        <v>27</v>
      </c>
      <c r="H482" s="1" t="s">
        <v>28</v>
      </c>
      <c r="I482" t="s">
        <v>35</v>
      </c>
      <c r="J482">
        <v>54</v>
      </c>
      <c r="K482">
        <v>9.4700000000000006</v>
      </c>
      <c r="L482">
        <v>511.2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30</v>
      </c>
      <c r="S482" t="s">
        <v>31</v>
      </c>
    </row>
    <row r="483" spans="1:19" x14ac:dyDescent="0.3">
      <c r="A483">
        <v>5494</v>
      </c>
      <c r="B483" t="s">
        <v>32</v>
      </c>
      <c r="C483" t="s">
        <v>23</v>
      </c>
      <c r="D483" t="s">
        <v>378</v>
      </c>
      <c r="E483" t="s">
        <v>409</v>
      </c>
      <c r="F483" t="s">
        <v>375</v>
      </c>
      <c r="G483" t="s">
        <v>27</v>
      </c>
      <c r="H483" s="1" t="s">
        <v>28</v>
      </c>
      <c r="I483" t="s">
        <v>35</v>
      </c>
      <c r="J483">
        <v>84</v>
      </c>
      <c r="K483">
        <v>6.01</v>
      </c>
      <c r="L483">
        <v>504.8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</v>
      </c>
      <c r="S483" t="s">
        <v>31</v>
      </c>
    </row>
    <row r="484" spans="1:19" x14ac:dyDescent="0.3">
      <c r="A484">
        <v>5495</v>
      </c>
      <c r="B484" t="s">
        <v>32</v>
      </c>
      <c r="C484" t="s">
        <v>23</v>
      </c>
      <c r="D484" t="s">
        <v>378</v>
      </c>
      <c r="E484" t="s">
        <v>409</v>
      </c>
      <c r="F484" t="s">
        <v>375</v>
      </c>
      <c r="G484" t="s">
        <v>27</v>
      </c>
      <c r="H484" s="1" t="s">
        <v>28</v>
      </c>
      <c r="I484" t="s">
        <v>35</v>
      </c>
      <c r="J484">
        <v>84</v>
      </c>
      <c r="K484">
        <v>6.01</v>
      </c>
      <c r="L484">
        <v>504.8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30</v>
      </c>
      <c r="S484" t="s">
        <v>31</v>
      </c>
    </row>
    <row r="485" spans="1:19" x14ac:dyDescent="0.3">
      <c r="A485">
        <v>5496</v>
      </c>
      <c r="B485" t="s">
        <v>32</v>
      </c>
      <c r="C485" t="s">
        <v>23</v>
      </c>
      <c r="D485" t="s">
        <v>378</v>
      </c>
      <c r="E485" t="s">
        <v>404</v>
      </c>
      <c r="F485" t="s">
        <v>375</v>
      </c>
      <c r="G485" t="s">
        <v>27</v>
      </c>
      <c r="H485" s="1" t="s">
        <v>28</v>
      </c>
      <c r="I485" t="s">
        <v>35</v>
      </c>
      <c r="J485">
        <v>14</v>
      </c>
      <c r="K485">
        <v>35.729999999999997</v>
      </c>
      <c r="L485">
        <v>500.27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30</v>
      </c>
      <c r="S485" t="s">
        <v>31</v>
      </c>
    </row>
    <row r="486" spans="1:19" x14ac:dyDescent="0.3">
      <c r="A486">
        <v>5497</v>
      </c>
      <c r="B486" t="s">
        <v>32</v>
      </c>
      <c r="C486" t="s">
        <v>23</v>
      </c>
      <c r="D486" t="s">
        <v>378</v>
      </c>
      <c r="E486" t="s">
        <v>404</v>
      </c>
      <c r="F486" t="s">
        <v>375</v>
      </c>
      <c r="G486" t="s">
        <v>27</v>
      </c>
      <c r="H486" s="1" t="s">
        <v>28</v>
      </c>
      <c r="I486" t="s">
        <v>35</v>
      </c>
      <c r="J486">
        <v>14</v>
      </c>
      <c r="K486">
        <v>35.729999999999997</v>
      </c>
      <c r="L486">
        <v>500.27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30</v>
      </c>
      <c r="S486" t="s">
        <v>31</v>
      </c>
    </row>
    <row r="487" spans="1:19" x14ac:dyDescent="0.3">
      <c r="A487">
        <v>5498</v>
      </c>
      <c r="B487" t="s">
        <v>32</v>
      </c>
      <c r="C487" t="s">
        <v>23</v>
      </c>
      <c r="D487" t="s">
        <v>378</v>
      </c>
      <c r="E487" t="s">
        <v>404</v>
      </c>
      <c r="F487" t="s">
        <v>375</v>
      </c>
      <c r="G487" t="s">
        <v>27</v>
      </c>
      <c r="H487" s="1" t="s">
        <v>28</v>
      </c>
      <c r="I487" t="s">
        <v>35</v>
      </c>
      <c r="J487">
        <v>13</v>
      </c>
      <c r="K487">
        <v>35.729999999999997</v>
      </c>
      <c r="L487">
        <v>464.53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</v>
      </c>
      <c r="S487" t="s">
        <v>31</v>
      </c>
    </row>
    <row r="488" spans="1:19" x14ac:dyDescent="0.3">
      <c r="A488">
        <v>5499</v>
      </c>
      <c r="B488" t="s">
        <v>32</v>
      </c>
      <c r="C488" t="s">
        <v>23</v>
      </c>
      <c r="D488" t="s">
        <v>378</v>
      </c>
      <c r="E488" t="s">
        <v>407</v>
      </c>
      <c r="F488" t="s">
        <v>375</v>
      </c>
      <c r="G488" t="s">
        <v>27</v>
      </c>
      <c r="H488" s="1" t="s">
        <v>28</v>
      </c>
      <c r="I488" t="s">
        <v>35</v>
      </c>
      <c r="J488">
        <v>60</v>
      </c>
      <c r="K488">
        <v>7.72</v>
      </c>
      <c r="L488">
        <v>463.43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30</v>
      </c>
      <c r="S488" t="s">
        <v>31</v>
      </c>
    </row>
    <row r="489" spans="1:19" x14ac:dyDescent="0.3">
      <c r="A489">
        <v>5500</v>
      </c>
      <c r="B489" t="s">
        <v>32</v>
      </c>
      <c r="C489" t="s">
        <v>23</v>
      </c>
      <c r="D489" t="s">
        <v>378</v>
      </c>
      <c r="E489" t="s">
        <v>405</v>
      </c>
      <c r="F489" t="s">
        <v>375</v>
      </c>
      <c r="G489" t="s">
        <v>27</v>
      </c>
      <c r="H489" s="1" t="s">
        <v>28</v>
      </c>
      <c r="I489" t="s">
        <v>35</v>
      </c>
      <c r="J489">
        <v>25</v>
      </c>
      <c r="K489">
        <v>16.170000000000002</v>
      </c>
      <c r="L489">
        <v>404.29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30</v>
      </c>
      <c r="S489" t="s">
        <v>31</v>
      </c>
    </row>
    <row r="490" spans="1:19" x14ac:dyDescent="0.3">
      <c r="A490">
        <v>5501</v>
      </c>
      <c r="B490" t="s">
        <v>32</v>
      </c>
      <c r="C490" t="s">
        <v>23</v>
      </c>
      <c r="D490" t="s">
        <v>378</v>
      </c>
      <c r="E490" t="s">
        <v>405</v>
      </c>
      <c r="F490" t="s">
        <v>375</v>
      </c>
      <c r="G490" t="s">
        <v>27</v>
      </c>
      <c r="H490" s="1" t="s">
        <v>28</v>
      </c>
      <c r="I490" t="s">
        <v>35</v>
      </c>
      <c r="J490">
        <v>25</v>
      </c>
      <c r="K490">
        <v>16.170000000000002</v>
      </c>
      <c r="L490">
        <v>404.29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30</v>
      </c>
      <c r="S490" t="s">
        <v>31</v>
      </c>
    </row>
    <row r="491" spans="1:19" x14ac:dyDescent="0.3">
      <c r="A491">
        <v>5502</v>
      </c>
      <c r="B491" t="s">
        <v>32</v>
      </c>
      <c r="C491" t="s">
        <v>23</v>
      </c>
      <c r="D491" t="s">
        <v>378</v>
      </c>
      <c r="E491" t="s">
        <v>410</v>
      </c>
      <c r="F491" t="s">
        <v>375</v>
      </c>
      <c r="G491" t="s">
        <v>27</v>
      </c>
      <c r="H491" s="1" t="s">
        <v>28</v>
      </c>
      <c r="I491" t="s">
        <v>35</v>
      </c>
      <c r="J491">
        <v>25</v>
      </c>
      <c r="K491">
        <v>15.88</v>
      </c>
      <c r="L491">
        <v>396.9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30</v>
      </c>
      <c r="S491" t="s">
        <v>31</v>
      </c>
    </row>
    <row r="492" spans="1:19" x14ac:dyDescent="0.3">
      <c r="A492">
        <v>5503</v>
      </c>
      <c r="B492" t="s">
        <v>32</v>
      </c>
      <c r="C492" t="s">
        <v>23</v>
      </c>
      <c r="D492" t="s">
        <v>378</v>
      </c>
      <c r="E492" t="s">
        <v>407</v>
      </c>
      <c r="F492" t="s">
        <v>375</v>
      </c>
      <c r="G492" t="s">
        <v>27</v>
      </c>
      <c r="H492" s="1" t="s">
        <v>28</v>
      </c>
      <c r="I492" t="s">
        <v>35</v>
      </c>
      <c r="J492">
        <v>50</v>
      </c>
      <c r="K492">
        <v>7.72</v>
      </c>
      <c r="L492">
        <v>386.19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30</v>
      </c>
      <c r="S492" t="s">
        <v>31</v>
      </c>
    </row>
    <row r="493" spans="1:19" x14ac:dyDescent="0.3">
      <c r="A493">
        <v>5504</v>
      </c>
      <c r="B493" t="s">
        <v>32</v>
      </c>
      <c r="C493" t="s">
        <v>23</v>
      </c>
      <c r="D493" t="s">
        <v>378</v>
      </c>
      <c r="E493" t="s">
        <v>411</v>
      </c>
      <c r="F493" t="s">
        <v>375</v>
      </c>
      <c r="G493" t="s">
        <v>27</v>
      </c>
      <c r="H493" s="1" t="s">
        <v>28</v>
      </c>
      <c r="I493" t="s">
        <v>35</v>
      </c>
      <c r="J493">
        <v>190</v>
      </c>
      <c r="K493">
        <v>1.92</v>
      </c>
      <c r="L493">
        <v>365.52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30</v>
      </c>
      <c r="S493" t="s">
        <v>31</v>
      </c>
    </row>
    <row r="494" spans="1:19" x14ac:dyDescent="0.3">
      <c r="A494">
        <v>5505</v>
      </c>
      <c r="B494" t="s">
        <v>32</v>
      </c>
      <c r="C494" t="s">
        <v>23</v>
      </c>
      <c r="D494" t="s">
        <v>378</v>
      </c>
      <c r="E494" t="s">
        <v>409</v>
      </c>
      <c r="F494" t="s">
        <v>375</v>
      </c>
      <c r="G494" t="s">
        <v>27</v>
      </c>
      <c r="H494" s="1" t="s">
        <v>28</v>
      </c>
      <c r="I494" t="s">
        <v>35</v>
      </c>
      <c r="J494">
        <v>60</v>
      </c>
      <c r="K494">
        <v>6.01</v>
      </c>
      <c r="L494">
        <v>360.57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</v>
      </c>
      <c r="S494" t="s">
        <v>31</v>
      </c>
    </row>
    <row r="495" spans="1:19" x14ac:dyDescent="0.3">
      <c r="A495">
        <v>5506</v>
      </c>
      <c r="B495" t="s">
        <v>32</v>
      </c>
      <c r="C495" t="s">
        <v>23</v>
      </c>
      <c r="D495" t="s">
        <v>378</v>
      </c>
      <c r="E495" t="s">
        <v>409</v>
      </c>
      <c r="F495" t="s">
        <v>375</v>
      </c>
      <c r="G495" t="s">
        <v>27</v>
      </c>
      <c r="H495" s="1" t="s">
        <v>28</v>
      </c>
      <c r="I495" t="s">
        <v>35</v>
      </c>
      <c r="J495">
        <v>60</v>
      </c>
      <c r="K495">
        <v>6.01</v>
      </c>
      <c r="L495">
        <v>360.57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30</v>
      </c>
      <c r="S495" t="s">
        <v>31</v>
      </c>
    </row>
    <row r="496" spans="1:19" x14ac:dyDescent="0.3">
      <c r="A496">
        <v>5507</v>
      </c>
      <c r="B496" t="s">
        <v>32</v>
      </c>
      <c r="C496" t="s">
        <v>23</v>
      </c>
      <c r="D496" t="s">
        <v>378</v>
      </c>
      <c r="E496" t="s">
        <v>409</v>
      </c>
      <c r="F496" t="s">
        <v>375</v>
      </c>
      <c r="G496" t="s">
        <v>27</v>
      </c>
      <c r="H496" s="1" t="s">
        <v>28</v>
      </c>
      <c r="I496" t="s">
        <v>35</v>
      </c>
      <c r="J496">
        <v>60</v>
      </c>
      <c r="K496">
        <v>6.01</v>
      </c>
      <c r="L496">
        <v>360.57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30</v>
      </c>
      <c r="S496" t="s">
        <v>31</v>
      </c>
    </row>
    <row r="497" spans="1:19" x14ac:dyDescent="0.3">
      <c r="A497">
        <v>5508</v>
      </c>
      <c r="B497" t="s">
        <v>32</v>
      </c>
      <c r="C497" t="s">
        <v>23</v>
      </c>
      <c r="D497" t="s">
        <v>378</v>
      </c>
      <c r="E497" t="s">
        <v>412</v>
      </c>
      <c r="F497" t="s">
        <v>375</v>
      </c>
      <c r="G497" t="s">
        <v>27</v>
      </c>
      <c r="H497" s="1" t="s">
        <v>28</v>
      </c>
      <c r="I497" t="s">
        <v>35</v>
      </c>
      <c r="J497">
        <v>120</v>
      </c>
      <c r="K497">
        <v>2.86</v>
      </c>
      <c r="L497">
        <v>342.86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30</v>
      </c>
      <c r="S497" t="s">
        <v>31</v>
      </c>
    </row>
    <row r="498" spans="1:19" x14ac:dyDescent="0.3">
      <c r="A498">
        <v>5509</v>
      </c>
      <c r="B498" t="s">
        <v>32</v>
      </c>
      <c r="C498" t="s">
        <v>23</v>
      </c>
      <c r="D498" t="s">
        <v>378</v>
      </c>
      <c r="E498" t="s">
        <v>408</v>
      </c>
      <c r="F498" t="s">
        <v>375</v>
      </c>
      <c r="G498" t="s">
        <v>27</v>
      </c>
      <c r="H498" s="1" t="s">
        <v>28</v>
      </c>
      <c r="I498" t="s">
        <v>35</v>
      </c>
      <c r="J498">
        <v>78</v>
      </c>
      <c r="K498">
        <v>4.29</v>
      </c>
      <c r="L498">
        <v>334.29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30</v>
      </c>
      <c r="S498" t="s">
        <v>31</v>
      </c>
    </row>
    <row r="499" spans="1:19" x14ac:dyDescent="0.3">
      <c r="A499">
        <v>5510</v>
      </c>
      <c r="B499" t="s">
        <v>32</v>
      </c>
      <c r="C499" t="s">
        <v>23</v>
      </c>
      <c r="D499" t="s">
        <v>378</v>
      </c>
      <c r="E499" t="s">
        <v>403</v>
      </c>
      <c r="F499" t="s">
        <v>375</v>
      </c>
      <c r="G499" t="s">
        <v>27</v>
      </c>
      <c r="H499" s="1" t="s">
        <v>28</v>
      </c>
      <c r="I499" t="s">
        <v>35</v>
      </c>
      <c r="J499">
        <v>56</v>
      </c>
      <c r="K499">
        <v>5.78</v>
      </c>
      <c r="L499">
        <v>323.73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30</v>
      </c>
      <c r="S499" t="s">
        <v>31</v>
      </c>
    </row>
    <row r="500" spans="1:19" x14ac:dyDescent="0.3">
      <c r="A500">
        <v>5511</v>
      </c>
      <c r="B500" t="s">
        <v>32</v>
      </c>
      <c r="C500" t="s">
        <v>23</v>
      </c>
      <c r="D500" t="s">
        <v>378</v>
      </c>
      <c r="E500" t="s">
        <v>410</v>
      </c>
      <c r="F500" t="s">
        <v>375</v>
      </c>
      <c r="G500" t="s">
        <v>27</v>
      </c>
      <c r="H500" s="1" t="s">
        <v>28</v>
      </c>
      <c r="I500" t="s">
        <v>35</v>
      </c>
      <c r="J500">
        <v>20</v>
      </c>
      <c r="K500">
        <v>15.88</v>
      </c>
      <c r="L500">
        <v>317.52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30</v>
      </c>
      <c r="S500" t="s">
        <v>31</v>
      </c>
    </row>
    <row r="501" spans="1:19" x14ac:dyDescent="0.3">
      <c r="A501">
        <v>5512</v>
      </c>
      <c r="B501" t="s">
        <v>32</v>
      </c>
      <c r="C501" t="s">
        <v>23</v>
      </c>
      <c r="D501" t="s">
        <v>378</v>
      </c>
      <c r="E501" t="s">
        <v>407</v>
      </c>
      <c r="F501" t="s">
        <v>375</v>
      </c>
      <c r="G501" t="s">
        <v>27</v>
      </c>
      <c r="H501" s="1" t="s">
        <v>28</v>
      </c>
      <c r="I501" t="s">
        <v>35</v>
      </c>
      <c r="J501">
        <v>40</v>
      </c>
      <c r="K501">
        <v>7.72</v>
      </c>
      <c r="L501">
        <v>308.95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30</v>
      </c>
      <c r="S501" t="s">
        <v>31</v>
      </c>
    </row>
    <row r="502" spans="1:19" x14ac:dyDescent="0.3">
      <c r="A502">
        <v>5513</v>
      </c>
      <c r="B502" t="s">
        <v>32</v>
      </c>
      <c r="C502" t="s">
        <v>23</v>
      </c>
      <c r="D502" t="s">
        <v>378</v>
      </c>
      <c r="E502" t="s">
        <v>411</v>
      </c>
      <c r="F502" t="s">
        <v>375</v>
      </c>
      <c r="G502" t="s">
        <v>27</v>
      </c>
      <c r="H502" s="1" t="s">
        <v>28</v>
      </c>
      <c r="I502" t="s">
        <v>35</v>
      </c>
      <c r="J502">
        <v>190</v>
      </c>
      <c r="K502">
        <v>1.44</v>
      </c>
      <c r="L502">
        <v>273.24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30</v>
      </c>
      <c r="S502" t="s">
        <v>31</v>
      </c>
    </row>
    <row r="503" spans="1:19" x14ac:dyDescent="0.3">
      <c r="A503">
        <v>5514</v>
      </c>
      <c r="B503" t="s">
        <v>32</v>
      </c>
      <c r="C503" t="s">
        <v>23</v>
      </c>
      <c r="D503" t="s">
        <v>378</v>
      </c>
      <c r="E503" t="s">
        <v>413</v>
      </c>
      <c r="F503" t="s">
        <v>375</v>
      </c>
      <c r="G503" t="s">
        <v>27</v>
      </c>
      <c r="H503" s="1" t="s">
        <v>28</v>
      </c>
      <c r="I503" t="s">
        <v>35</v>
      </c>
      <c r="J503">
        <v>21</v>
      </c>
      <c r="K503">
        <v>12.96</v>
      </c>
      <c r="L503">
        <v>272.2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30</v>
      </c>
      <c r="S503" t="s">
        <v>31</v>
      </c>
    </row>
    <row r="504" spans="1:19" x14ac:dyDescent="0.3">
      <c r="A504">
        <v>5515</v>
      </c>
      <c r="B504" t="s">
        <v>32</v>
      </c>
      <c r="C504" t="s">
        <v>23</v>
      </c>
      <c r="D504" t="s">
        <v>378</v>
      </c>
      <c r="E504" t="s">
        <v>408</v>
      </c>
      <c r="F504" t="s">
        <v>375</v>
      </c>
      <c r="G504" t="s">
        <v>27</v>
      </c>
      <c r="H504" s="1" t="s">
        <v>28</v>
      </c>
      <c r="I504" t="s">
        <v>35</v>
      </c>
      <c r="J504">
        <v>62</v>
      </c>
      <c r="K504">
        <v>4.29</v>
      </c>
      <c r="L504">
        <v>265.70999999999998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30</v>
      </c>
      <c r="S504" t="s">
        <v>31</v>
      </c>
    </row>
    <row r="505" spans="1:19" x14ac:dyDescent="0.3">
      <c r="A505">
        <v>5516</v>
      </c>
      <c r="B505" t="s">
        <v>32</v>
      </c>
      <c r="C505" t="s">
        <v>23</v>
      </c>
      <c r="D505" t="s">
        <v>378</v>
      </c>
      <c r="E505" t="s">
        <v>414</v>
      </c>
      <c r="F505" t="s">
        <v>375</v>
      </c>
      <c r="G505" t="s">
        <v>27</v>
      </c>
      <c r="H505" s="1" t="s">
        <v>28</v>
      </c>
      <c r="I505" t="s">
        <v>35</v>
      </c>
      <c r="J505">
        <v>2</v>
      </c>
      <c r="K505">
        <v>132.55000000000001</v>
      </c>
      <c r="L505">
        <v>265.10000000000002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30</v>
      </c>
      <c r="S505" t="s">
        <v>31</v>
      </c>
    </row>
    <row r="506" spans="1:19" x14ac:dyDescent="0.3">
      <c r="A506">
        <v>5517</v>
      </c>
      <c r="B506" t="s">
        <v>32</v>
      </c>
      <c r="C506" t="s">
        <v>23</v>
      </c>
      <c r="D506" t="s">
        <v>378</v>
      </c>
      <c r="E506" t="s">
        <v>411</v>
      </c>
      <c r="F506" t="s">
        <v>375</v>
      </c>
      <c r="G506" t="s">
        <v>27</v>
      </c>
      <c r="H506" s="1" t="s">
        <v>28</v>
      </c>
      <c r="I506" t="s">
        <v>35</v>
      </c>
      <c r="J506">
        <v>130</v>
      </c>
      <c r="K506">
        <v>1.92</v>
      </c>
      <c r="L506">
        <v>250.1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30</v>
      </c>
      <c r="S506" t="s">
        <v>31</v>
      </c>
    </row>
    <row r="507" spans="1:19" x14ac:dyDescent="0.3">
      <c r="A507">
        <v>5518</v>
      </c>
      <c r="B507" t="s">
        <v>32</v>
      </c>
      <c r="C507" t="s">
        <v>23</v>
      </c>
      <c r="D507" t="s">
        <v>378</v>
      </c>
      <c r="E507" t="s">
        <v>415</v>
      </c>
      <c r="F507" t="s">
        <v>375</v>
      </c>
      <c r="G507" t="s">
        <v>27</v>
      </c>
      <c r="H507" s="1" t="s">
        <v>28</v>
      </c>
      <c r="I507" t="s">
        <v>35</v>
      </c>
      <c r="J507">
        <v>24</v>
      </c>
      <c r="K507">
        <v>10.23</v>
      </c>
      <c r="L507">
        <v>245.49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30</v>
      </c>
      <c r="S507" t="s">
        <v>31</v>
      </c>
    </row>
    <row r="508" spans="1:19" x14ac:dyDescent="0.3">
      <c r="A508">
        <v>5519</v>
      </c>
      <c r="B508" t="s">
        <v>32</v>
      </c>
      <c r="C508" t="s">
        <v>23</v>
      </c>
      <c r="D508" t="s">
        <v>378</v>
      </c>
      <c r="E508" t="s">
        <v>415</v>
      </c>
      <c r="F508" t="s">
        <v>375</v>
      </c>
      <c r="G508" t="s">
        <v>27</v>
      </c>
      <c r="H508" s="1" t="s">
        <v>28</v>
      </c>
      <c r="I508" t="s">
        <v>35</v>
      </c>
      <c r="J508">
        <v>24</v>
      </c>
      <c r="K508">
        <v>10.23</v>
      </c>
      <c r="L508">
        <v>245.49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30</v>
      </c>
      <c r="S508" t="s">
        <v>31</v>
      </c>
    </row>
    <row r="509" spans="1:19" x14ac:dyDescent="0.3">
      <c r="A509">
        <v>5520</v>
      </c>
      <c r="B509" t="s">
        <v>32</v>
      </c>
      <c r="C509" t="s">
        <v>23</v>
      </c>
      <c r="D509" t="s">
        <v>378</v>
      </c>
      <c r="E509" t="s">
        <v>405</v>
      </c>
      <c r="F509" t="s">
        <v>375</v>
      </c>
      <c r="G509" t="s">
        <v>27</v>
      </c>
      <c r="H509" s="1" t="s">
        <v>28</v>
      </c>
      <c r="I509" t="s">
        <v>35</v>
      </c>
      <c r="J509">
        <v>15</v>
      </c>
      <c r="K509">
        <v>16.170000000000002</v>
      </c>
      <c r="L509">
        <v>242.57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30</v>
      </c>
      <c r="S509" t="s">
        <v>31</v>
      </c>
    </row>
    <row r="510" spans="1:19" x14ac:dyDescent="0.3">
      <c r="A510">
        <v>5521</v>
      </c>
      <c r="B510" t="s">
        <v>32</v>
      </c>
      <c r="C510" t="s">
        <v>23</v>
      </c>
      <c r="D510" t="s">
        <v>378</v>
      </c>
      <c r="E510" t="s">
        <v>408</v>
      </c>
      <c r="F510" t="s">
        <v>375</v>
      </c>
      <c r="G510" t="s">
        <v>27</v>
      </c>
      <c r="H510" s="1" t="s">
        <v>28</v>
      </c>
      <c r="I510" t="s">
        <v>35</v>
      </c>
      <c r="J510">
        <v>56</v>
      </c>
      <c r="K510">
        <v>4.29</v>
      </c>
      <c r="L510">
        <v>240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30</v>
      </c>
      <c r="S510" t="s">
        <v>31</v>
      </c>
    </row>
    <row r="511" spans="1:19" x14ac:dyDescent="0.3">
      <c r="A511">
        <v>5522</v>
      </c>
      <c r="B511" t="s">
        <v>32</v>
      </c>
      <c r="C511" t="s">
        <v>23</v>
      </c>
      <c r="D511" t="s">
        <v>378</v>
      </c>
      <c r="E511" t="s">
        <v>403</v>
      </c>
      <c r="F511" t="s">
        <v>375</v>
      </c>
      <c r="G511" t="s">
        <v>27</v>
      </c>
      <c r="H511" s="1" t="s">
        <v>28</v>
      </c>
      <c r="I511" t="s">
        <v>35</v>
      </c>
      <c r="J511">
        <v>40</v>
      </c>
      <c r="K511">
        <v>5.78</v>
      </c>
      <c r="L511">
        <v>231.24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30</v>
      </c>
      <c r="S511" t="s">
        <v>31</v>
      </c>
    </row>
    <row r="512" spans="1:19" x14ac:dyDescent="0.3">
      <c r="A512">
        <v>5523</v>
      </c>
      <c r="B512" t="s">
        <v>32</v>
      </c>
      <c r="C512" t="s">
        <v>23</v>
      </c>
      <c r="D512" t="s">
        <v>378</v>
      </c>
      <c r="E512" t="s">
        <v>412</v>
      </c>
      <c r="F512" t="s">
        <v>375</v>
      </c>
      <c r="G512" t="s">
        <v>27</v>
      </c>
      <c r="H512" s="1" t="s">
        <v>28</v>
      </c>
      <c r="I512" t="s">
        <v>35</v>
      </c>
      <c r="J512">
        <v>78</v>
      </c>
      <c r="K512">
        <v>2.86</v>
      </c>
      <c r="L512">
        <v>222.86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</v>
      </c>
      <c r="S512" t="s">
        <v>31</v>
      </c>
    </row>
    <row r="513" spans="1:19" x14ac:dyDescent="0.3">
      <c r="A513">
        <v>5524</v>
      </c>
      <c r="B513" t="s">
        <v>32</v>
      </c>
      <c r="C513" t="s">
        <v>23</v>
      </c>
      <c r="D513" t="s">
        <v>378</v>
      </c>
      <c r="E513" t="s">
        <v>403</v>
      </c>
      <c r="F513" t="s">
        <v>375</v>
      </c>
      <c r="G513" t="s">
        <v>27</v>
      </c>
      <c r="H513" s="1" t="s">
        <v>28</v>
      </c>
      <c r="I513" t="s">
        <v>35</v>
      </c>
      <c r="J513">
        <v>96</v>
      </c>
      <c r="K513">
        <v>2.1</v>
      </c>
      <c r="L513">
        <v>201.14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30</v>
      </c>
      <c r="S513" t="s">
        <v>31</v>
      </c>
    </row>
    <row r="514" spans="1:19" x14ac:dyDescent="0.3">
      <c r="A514">
        <v>5525</v>
      </c>
      <c r="B514" t="s">
        <v>32</v>
      </c>
      <c r="C514" t="s">
        <v>23</v>
      </c>
      <c r="D514" t="s">
        <v>378</v>
      </c>
      <c r="E514" t="s">
        <v>413</v>
      </c>
      <c r="F514" t="s">
        <v>375</v>
      </c>
      <c r="G514" t="s">
        <v>27</v>
      </c>
      <c r="H514" s="1" t="s">
        <v>28</v>
      </c>
      <c r="I514" t="s">
        <v>35</v>
      </c>
      <c r="J514">
        <v>15</v>
      </c>
      <c r="K514">
        <v>12.96</v>
      </c>
      <c r="L514">
        <v>194.43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30</v>
      </c>
      <c r="S514" t="s">
        <v>31</v>
      </c>
    </row>
    <row r="515" spans="1:19" x14ac:dyDescent="0.3">
      <c r="A515">
        <v>5526</v>
      </c>
      <c r="B515" t="s">
        <v>32</v>
      </c>
      <c r="C515" t="s">
        <v>23</v>
      </c>
      <c r="D515" t="s">
        <v>378</v>
      </c>
      <c r="E515" t="s">
        <v>413</v>
      </c>
      <c r="F515" t="s">
        <v>375</v>
      </c>
      <c r="G515" t="s">
        <v>27</v>
      </c>
      <c r="H515" s="1" t="s">
        <v>28</v>
      </c>
      <c r="I515" t="s">
        <v>35</v>
      </c>
      <c r="J515">
        <v>15</v>
      </c>
      <c r="K515">
        <v>12.96</v>
      </c>
      <c r="L515">
        <v>194.43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30</v>
      </c>
      <c r="S515" t="s">
        <v>31</v>
      </c>
    </row>
    <row r="516" spans="1:19" x14ac:dyDescent="0.3">
      <c r="A516">
        <v>5527</v>
      </c>
      <c r="B516" t="s">
        <v>32</v>
      </c>
      <c r="C516" t="s">
        <v>23</v>
      </c>
      <c r="D516" t="s">
        <v>378</v>
      </c>
      <c r="E516" t="s">
        <v>416</v>
      </c>
      <c r="F516" t="s">
        <v>375</v>
      </c>
      <c r="G516" t="s">
        <v>27</v>
      </c>
      <c r="H516" s="1" t="s">
        <v>28</v>
      </c>
      <c r="I516" t="s">
        <v>35</v>
      </c>
      <c r="J516">
        <v>14</v>
      </c>
      <c r="K516">
        <v>13.8</v>
      </c>
      <c r="L516">
        <v>193.2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30</v>
      </c>
      <c r="S516" t="s">
        <v>31</v>
      </c>
    </row>
    <row r="517" spans="1:19" x14ac:dyDescent="0.3">
      <c r="A517">
        <v>5528</v>
      </c>
      <c r="B517" t="s">
        <v>32</v>
      </c>
      <c r="C517" t="s">
        <v>23</v>
      </c>
      <c r="D517" t="s">
        <v>378</v>
      </c>
      <c r="E517" t="s">
        <v>411</v>
      </c>
      <c r="F517" t="s">
        <v>375</v>
      </c>
      <c r="G517" t="s">
        <v>27</v>
      </c>
      <c r="H517" s="1" t="s">
        <v>28</v>
      </c>
      <c r="I517" t="s">
        <v>35</v>
      </c>
      <c r="J517">
        <v>130</v>
      </c>
      <c r="K517">
        <v>1.44</v>
      </c>
      <c r="L517">
        <v>186.95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30</v>
      </c>
      <c r="S517" t="s">
        <v>31</v>
      </c>
    </row>
    <row r="518" spans="1:19" x14ac:dyDescent="0.3">
      <c r="A518">
        <v>5529</v>
      </c>
      <c r="B518" t="s">
        <v>32</v>
      </c>
      <c r="C518" t="s">
        <v>23</v>
      </c>
      <c r="D518" t="s">
        <v>378</v>
      </c>
      <c r="E518" t="s">
        <v>415</v>
      </c>
      <c r="F518" t="s">
        <v>375</v>
      </c>
      <c r="G518" t="s">
        <v>27</v>
      </c>
      <c r="H518" s="1" t="s">
        <v>28</v>
      </c>
      <c r="I518" t="s">
        <v>35</v>
      </c>
      <c r="J518">
        <v>18</v>
      </c>
      <c r="K518">
        <v>10.23</v>
      </c>
      <c r="L518">
        <v>184.11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30</v>
      </c>
      <c r="S518" t="s">
        <v>31</v>
      </c>
    </row>
    <row r="519" spans="1:19" x14ac:dyDescent="0.3">
      <c r="A519">
        <v>5530</v>
      </c>
      <c r="B519" t="s">
        <v>32</v>
      </c>
      <c r="C519" t="s">
        <v>23</v>
      </c>
      <c r="D519" t="s">
        <v>378</v>
      </c>
      <c r="E519" t="s">
        <v>412</v>
      </c>
      <c r="F519" t="s">
        <v>375</v>
      </c>
      <c r="G519" t="s">
        <v>27</v>
      </c>
      <c r="H519" s="1" t="s">
        <v>28</v>
      </c>
      <c r="I519" t="s">
        <v>35</v>
      </c>
      <c r="J519">
        <v>62</v>
      </c>
      <c r="K519">
        <v>2.86</v>
      </c>
      <c r="L519">
        <v>177.14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30</v>
      </c>
      <c r="S519" t="s">
        <v>31</v>
      </c>
    </row>
    <row r="520" spans="1:19" x14ac:dyDescent="0.3">
      <c r="A520">
        <v>5531</v>
      </c>
      <c r="B520" t="s">
        <v>32</v>
      </c>
      <c r="C520" t="s">
        <v>23</v>
      </c>
      <c r="D520" t="s">
        <v>378</v>
      </c>
      <c r="E520" t="s">
        <v>411</v>
      </c>
      <c r="F520" t="s">
        <v>375</v>
      </c>
      <c r="G520" t="s">
        <v>27</v>
      </c>
      <c r="H520" s="1" t="s">
        <v>28</v>
      </c>
      <c r="I520" t="s">
        <v>35</v>
      </c>
      <c r="J520">
        <v>120</v>
      </c>
      <c r="K520">
        <v>1.44</v>
      </c>
      <c r="L520">
        <v>172.57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30</v>
      </c>
      <c r="S520" t="s">
        <v>31</v>
      </c>
    </row>
    <row r="521" spans="1:19" x14ac:dyDescent="0.3">
      <c r="A521">
        <v>5532</v>
      </c>
      <c r="B521" t="s">
        <v>32</v>
      </c>
      <c r="C521" t="s">
        <v>23</v>
      </c>
      <c r="D521" t="s">
        <v>378</v>
      </c>
      <c r="E521" t="s">
        <v>417</v>
      </c>
      <c r="F521" t="s">
        <v>375</v>
      </c>
      <c r="G521" t="s">
        <v>27</v>
      </c>
      <c r="H521" s="1" t="s">
        <v>28</v>
      </c>
      <c r="I521" t="s">
        <v>35</v>
      </c>
      <c r="J521">
        <v>120</v>
      </c>
      <c r="K521">
        <v>1.43</v>
      </c>
      <c r="L521">
        <v>171.43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30</v>
      </c>
      <c r="S521" t="s">
        <v>31</v>
      </c>
    </row>
    <row r="522" spans="1:19" x14ac:dyDescent="0.3">
      <c r="A522">
        <v>5533</v>
      </c>
      <c r="B522" t="s">
        <v>32</v>
      </c>
      <c r="C522" t="s">
        <v>23</v>
      </c>
      <c r="D522" t="s">
        <v>378</v>
      </c>
      <c r="E522" t="s">
        <v>418</v>
      </c>
      <c r="F522" t="s">
        <v>375</v>
      </c>
      <c r="G522" t="s">
        <v>27</v>
      </c>
      <c r="H522" s="1" t="s">
        <v>28</v>
      </c>
      <c r="I522" t="s">
        <v>35</v>
      </c>
      <c r="J522">
        <v>84</v>
      </c>
      <c r="K522">
        <v>2.02</v>
      </c>
      <c r="L522">
        <v>169.6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30</v>
      </c>
      <c r="S522" t="s">
        <v>31</v>
      </c>
    </row>
    <row r="523" spans="1:19" x14ac:dyDescent="0.3">
      <c r="A523">
        <v>5534</v>
      </c>
      <c r="B523" t="s">
        <v>32</v>
      </c>
      <c r="C523" t="s">
        <v>23</v>
      </c>
      <c r="D523" t="s">
        <v>378</v>
      </c>
      <c r="E523" t="s">
        <v>403</v>
      </c>
      <c r="F523" t="s">
        <v>375</v>
      </c>
      <c r="G523" t="s">
        <v>27</v>
      </c>
      <c r="H523" s="1" t="s">
        <v>28</v>
      </c>
      <c r="I523" t="s">
        <v>35</v>
      </c>
      <c r="J523">
        <v>28</v>
      </c>
      <c r="K523">
        <v>5.78</v>
      </c>
      <c r="L523">
        <v>161.87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30</v>
      </c>
      <c r="S523" t="s">
        <v>31</v>
      </c>
    </row>
    <row r="524" spans="1:19" x14ac:dyDescent="0.3">
      <c r="A524">
        <v>5535</v>
      </c>
      <c r="B524" t="s">
        <v>32</v>
      </c>
      <c r="C524" t="s">
        <v>23</v>
      </c>
      <c r="D524" t="s">
        <v>378</v>
      </c>
      <c r="E524" t="s">
        <v>412</v>
      </c>
      <c r="F524" t="s">
        <v>375</v>
      </c>
      <c r="G524" t="s">
        <v>27</v>
      </c>
      <c r="H524" s="1" t="s">
        <v>28</v>
      </c>
      <c r="I524" t="s">
        <v>35</v>
      </c>
      <c r="J524">
        <v>56</v>
      </c>
      <c r="K524">
        <v>2.86</v>
      </c>
      <c r="L524">
        <v>160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30</v>
      </c>
      <c r="S524" t="s">
        <v>31</v>
      </c>
    </row>
    <row r="525" spans="1:19" x14ac:dyDescent="0.3">
      <c r="A525">
        <v>5536</v>
      </c>
      <c r="B525" t="s">
        <v>32</v>
      </c>
      <c r="C525" t="s">
        <v>23</v>
      </c>
      <c r="D525" t="s">
        <v>378</v>
      </c>
      <c r="E525" t="s">
        <v>403</v>
      </c>
      <c r="F525" t="s">
        <v>375</v>
      </c>
      <c r="G525" t="s">
        <v>27</v>
      </c>
      <c r="H525" s="1" t="s">
        <v>28</v>
      </c>
      <c r="I525" t="s">
        <v>35</v>
      </c>
      <c r="J525">
        <v>26</v>
      </c>
      <c r="K525">
        <v>5.78</v>
      </c>
      <c r="L525">
        <v>150.30000000000001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30</v>
      </c>
      <c r="S525" t="s">
        <v>31</v>
      </c>
    </row>
    <row r="526" spans="1:19" x14ac:dyDescent="0.3">
      <c r="A526">
        <v>5537</v>
      </c>
      <c r="B526" t="s">
        <v>32</v>
      </c>
      <c r="C526" t="s">
        <v>23</v>
      </c>
      <c r="D526" t="s">
        <v>378</v>
      </c>
      <c r="E526" t="s">
        <v>416</v>
      </c>
      <c r="F526" t="s">
        <v>375</v>
      </c>
      <c r="G526" t="s">
        <v>27</v>
      </c>
      <c r="H526" s="1" t="s">
        <v>28</v>
      </c>
      <c r="I526" t="s">
        <v>35</v>
      </c>
      <c r="J526">
        <v>10</v>
      </c>
      <c r="K526">
        <v>13.8</v>
      </c>
      <c r="L526">
        <v>138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30</v>
      </c>
      <c r="S526" t="s">
        <v>31</v>
      </c>
    </row>
    <row r="527" spans="1:19" x14ac:dyDescent="0.3">
      <c r="A527">
        <v>5538</v>
      </c>
      <c r="B527" t="s">
        <v>32</v>
      </c>
      <c r="C527" t="s">
        <v>23</v>
      </c>
      <c r="D527" t="s">
        <v>378</v>
      </c>
      <c r="E527" t="s">
        <v>413</v>
      </c>
      <c r="F527" t="s">
        <v>375</v>
      </c>
      <c r="G527" t="s">
        <v>27</v>
      </c>
      <c r="H527" s="1" t="s">
        <v>28</v>
      </c>
      <c r="I527" t="s">
        <v>35</v>
      </c>
      <c r="J527">
        <v>10</v>
      </c>
      <c r="K527">
        <v>12.96</v>
      </c>
      <c r="L527">
        <v>129.62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30</v>
      </c>
      <c r="S527" t="s">
        <v>31</v>
      </c>
    </row>
    <row r="528" spans="1:19" x14ac:dyDescent="0.3">
      <c r="A528">
        <v>5539</v>
      </c>
      <c r="B528" t="s">
        <v>32</v>
      </c>
      <c r="C528" t="s">
        <v>23</v>
      </c>
      <c r="D528" t="s">
        <v>378</v>
      </c>
      <c r="E528" t="s">
        <v>413</v>
      </c>
      <c r="F528" t="s">
        <v>375</v>
      </c>
      <c r="G528" t="s">
        <v>27</v>
      </c>
      <c r="H528" s="1" t="s">
        <v>28</v>
      </c>
      <c r="I528" t="s">
        <v>35</v>
      </c>
      <c r="J528">
        <v>10</v>
      </c>
      <c r="K528">
        <v>12.96</v>
      </c>
      <c r="L528">
        <v>129.62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30</v>
      </c>
      <c r="S528" t="s">
        <v>31</v>
      </c>
    </row>
    <row r="529" spans="1:19" x14ac:dyDescent="0.3">
      <c r="A529">
        <v>5540</v>
      </c>
      <c r="B529" t="s">
        <v>32</v>
      </c>
      <c r="C529" t="s">
        <v>23</v>
      </c>
      <c r="D529" t="s">
        <v>378</v>
      </c>
      <c r="E529" t="s">
        <v>415</v>
      </c>
      <c r="F529" t="s">
        <v>375</v>
      </c>
      <c r="G529" t="s">
        <v>27</v>
      </c>
      <c r="H529" s="1" t="s">
        <v>28</v>
      </c>
      <c r="I529" t="s">
        <v>35</v>
      </c>
      <c r="J529">
        <v>12</v>
      </c>
      <c r="K529">
        <v>10.23</v>
      </c>
      <c r="L529">
        <v>122.74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30</v>
      </c>
      <c r="S529" t="s">
        <v>31</v>
      </c>
    </row>
    <row r="530" spans="1:19" x14ac:dyDescent="0.3">
      <c r="A530">
        <v>5541</v>
      </c>
      <c r="B530" t="s">
        <v>32</v>
      </c>
      <c r="C530" t="s">
        <v>23</v>
      </c>
      <c r="D530" t="s">
        <v>378</v>
      </c>
      <c r="E530" t="s">
        <v>408</v>
      </c>
      <c r="F530" t="s">
        <v>375</v>
      </c>
      <c r="G530" t="s">
        <v>27</v>
      </c>
      <c r="H530" s="1" t="s">
        <v>28</v>
      </c>
      <c r="I530" t="s">
        <v>35</v>
      </c>
      <c r="J530">
        <v>28</v>
      </c>
      <c r="K530">
        <v>4.29</v>
      </c>
      <c r="L530">
        <v>120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30</v>
      </c>
      <c r="S530" t="s">
        <v>31</v>
      </c>
    </row>
    <row r="531" spans="1:19" x14ac:dyDescent="0.3">
      <c r="A531">
        <v>5542</v>
      </c>
      <c r="B531" t="s">
        <v>32</v>
      </c>
      <c r="C531" t="s">
        <v>23</v>
      </c>
      <c r="D531" t="s">
        <v>378</v>
      </c>
      <c r="E531" t="s">
        <v>415</v>
      </c>
      <c r="F531" t="s">
        <v>375</v>
      </c>
      <c r="G531" t="s">
        <v>27</v>
      </c>
      <c r="H531" s="1" t="s">
        <v>28</v>
      </c>
      <c r="I531" t="s">
        <v>35</v>
      </c>
      <c r="J531">
        <v>12</v>
      </c>
      <c r="K531">
        <v>9.4700000000000006</v>
      </c>
      <c r="L531">
        <v>113.6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</v>
      </c>
      <c r="S531" t="s">
        <v>31</v>
      </c>
    </row>
    <row r="532" spans="1:19" x14ac:dyDescent="0.3">
      <c r="A532">
        <v>5543</v>
      </c>
      <c r="B532" t="s">
        <v>32</v>
      </c>
      <c r="C532" t="s">
        <v>23</v>
      </c>
      <c r="D532" t="s">
        <v>378</v>
      </c>
      <c r="E532" t="s">
        <v>419</v>
      </c>
      <c r="F532" t="s">
        <v>375</v>
      </c>
      <c r="G532" t="s">
        <v>27</v>
      </c>
      <c r="H532" s="1" t="s">
        <v>28</v>
      </c>
      <c r="I532" t="s">
        <v>35</v>
      </c>
      <c r="J532">
        <v>84</v>
      </c>
      <c r="K532">
        <v>1.34</v>
      </c>
      <c r="L532">
        <v>112.8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30</v>
      </c>
      <c r="S532" t="s">
        <v>31</v>
      </c>
    </row>
    <row r="533" spans="1:19" x14ac:dyDescent="0.3">
      <c r="A533">
        <v>5544</v>
      </c>
      <c r="B533" t="s">
        <v>32</v>
      </c>
      <c r="C533" t="s">
        <v>23</v>
      </c>
      <c r="D533" t="s">
        <v>378</v>
      </c>
      <c r="E533" t="s">
        <v>417</v>
      </c>
      <c r="F533" t="s">
        <v>375</v>
      </c>
      <c r="G533" t="s">
        <v>27</v>
      </c>
      <c r="H533" s="1" t="s">
        <v>28</v>
      </c>
      <c r="I533" t="s">
        <v>35</v>
      </c>
      <c r="J533">
        <v>78</v>
      </c>
      <c r="K533">
        <v>1.43</v>
      </c>
      <c r="L533">
        <v>111.43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30</v>
      </c>
      <c r="S533" t="s">
        <v>31</v>
      </c>
    </row>
    <row r="534" spans="1:19" x14ac:dyDescent="0.3">
      <c r="A534">
        <v>5545</v>
      </c>
      <c r="B534" t="s">
        <v>32</v>
      </c>
      <c r="C534" t="s">
        <v>23</v>
      </c>
      <c r="D534" t="s">
        <v>378</v>
      </c>
      <c r="E534" t="s">
        <v>418</v>
      </c>
      <c r="F534" t="s">
        <v>375</v>
      </c>
      <c r="G534" t="s">
        <v>27</v>
      </c>
      <c r="H534" s="1" t="s">
        <v>28</v>
      </c>
      <c r="I534" t="s">
        <v>35</v>
      </c>
      <c r="J534">
        <v>48</v>
      </c>
      <c r="K534">
        <v>2.02</v>
      </c>
      <c r="L534">
        <v>96.91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</v>
      </c>
      <c r="S534" t="s">
        <v>31</v>
      </c>
    </row>
    <row r="535" spans="1:19" x14ac:dyDescent="0.3">
      <c r="A535">
        <v>5546</v>
      </c>
      <c r="B535" t="s">
        <v>32</v>
      </c>
      <c r="C535" t="s">
        <v>23</v>
      </c>
      <c r="D535" t="s">
        <v>378</v>
      </c>
      <c r="E535" t="s">
        <v>416</v>
      </c>
      <c r="F535" t="s">
        <v>375</v>
      </c>
      <c r="G535" t="s">
        <v>27</v>
      </c>
      <c r="H535" s="1" t="s">
        <v>28</v>
      </c>
      <c r="I535" t="s">
        <v>35</v>
      </c>
      <c r="J535">
        <v>7</v>
      </c>
      <c r="K535">
        <v>13.8</v>
      </c>
      <c r="L535">
        <v>96.6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30</v>
      </c>
      <c r="S535" t="s">
        <v>31</v>
      </c>
    </row>
    <row r="536" spans="1:19" x14ac:dyDescent="0.3">
      <c r="A536">
        <v>5547</v>
      </c>
      <c r="B536" t="s">
        <v>32</v>
      </c>
      <c r="C536" t="s">
        <v>23</v>
      </c>
      <c r="D536" t="s">
        <v>378</v>
      </c>
      <c r="E536" t="s">
        <v>420</v>
      </c>
      <c r="F536" t="s">
        <v>375</v>
      </c>
      <c r="G536" t="s">
        <v>27</v>
      </c>
      <c r="H536" s="1" t="s">
        <v>28</v>
      </c>
      <c r="I536" t="s">
        <v>35</v>
      </c>
      <c r="J536">
        <v>7</v>
      </c>
      <c r="K536">
        <v>13.37</v>
      </c>
      <c r="L536">
        <v>93.6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30</v>
      </c>
      <c r="S536" t="s">
        <v>31</v>
      </c>
    </row>
    <row r="537" spans="1:19" x14ac:dyDescent="0.3">
      <c r="A537">
        <v>5548</v>
      </c>
      <c r="B537" t="s">
        <v>32</v>
      </c>
      <c r="C537" t="s">
        <v>23</v>
      </c>
      <c r="D537" t="s">
        <v>378</v>
      </c>
      <c r="E537" t="s">
        <v>417</v>
      </c>
      <c r="F537" t="s">
        <v>375</v>
      </c>
      <c r="G537" t="s">
        <v>27</v>
      </c>
      <c r="H537" s="1" t="s">
        <v>28</v>
      </c>
      <c r="I537" t="s">
        <v>35</v>
      </c>
      <c r="J537">
        <v>62</v>
      </c>
      <c r="K537">
        <v>1.43</v>
      </c>
      <c r="L537">
        <v>88.57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30</v>
      </c>
      <c r="S537" t="s">
        <v>31</v>
      </c>
    </row>
    <row r="538" spans="1:19" x14ac:dyDescent="0.3">
      <c r="A538">
        <v>5549</v>
      </c>
      <c r="B538" t="s">
        <v>32</v>
      </c>
      <c r="C538" t="s">
        <v>23</v>
      </c>
      <c r="D538" t="s">
        <v>378</v>
      </c>
      <c r="E538" t="s">
        <v>421</v>
      </c>
      <c r="F538" t="s">
        <v>375</v>
      </c>
      <c r="G538" t="s">
        <v>27</v>
      </c>
      <c r="H538" s="1" t="s">
        <v>28</v>
      </c>
      <c r="I538" t="s">
        <v>35</v>
      </c>
      <c r="J538">
        <v>31</v>
      </c>
      <c r="K538">
        <v>2.58</v>
      </c>
      <c r="L538">
        <v>80.010000000000005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30</v>
      </c>
      <c r="S538" t="s">
        <v>31</v>
      </c>
    </row>
    <row r="539" spans="1:19" x14ac:dyDescent="0.3">
      <c r="A539">
        <v>5550</v>
      </c>
      <c r="B539" t="s">
        <v>32</v>
      </c>
      <c r="C539" t="s">
        <v>23</v>
      </c>
      <c r="D539" t="s">
        <v>378</v>
      </c>
      <c r="E539" t="s">
        <v>412</v>
      </c>
      <c r="F539" t="s">
        <v>375</v>
      </c>
      <c r="G539" t="s">
        <v>27</v>
      </c>
      <c r="H539" s="1" t="s">
        <v>28</v>
      </c>
      <c r="I539" t="s">
        <v>35</v>
      </c>
      <c r="J539">
        <v>28</v>
      </c>
      <c r="K539">
        <v>2.86</v>
      </c>
      <c r="L539">
        <v>80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</v>
      </c>
      <c r="S539" t="s">
        <v>31</v>
      </c>
    </row>
    <row r="540" spans="1:19" x14ac:dyDescent="0.3">
      <c r="A540">
        <v>5551</v>
      </c>
      <c r="B540" t="s">
        <v>32</v>
      </c>
      <c r="C540" t="s">
        <v>23</v>
      </c>
      <c r="D540" t="s">
        <v>378</v>
      </c>
      <c r="E540" t="s">
        <v>417</v>
      </c>
      <c r="F540" t="s">
        <v>375</v>
      </c>
      <c r="G540" t="s">
        <v>27</v>
      </c>
      <c r="H540" s="1" t="s">
        <v>28</v>
      </c>
      <c r="I540" t="s">
        <v>35</v>
      </c>
      <c r="J540">
        <v>56</v>
      </c>
      <c r="K540">
        <v>1.43</v>
      </c>
      <c r="L540">
        <v>80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</v>
      </c>
      <c r="S540" t="s">
        <v>31</v>
      </c>
    </row>
    <row r="541" spans="1:19" x14ac:dyDescent="0.3">
      <c r="A541">
        <v>5552</v>
      </c>
      <c r="B541" t="s">
        <v>32</v>
      </c>
      <c r="C541" t="s">
        <v>23</v>
      </c>
      <c r="D541" t="s">
        <v>378</v>
      </c>
      <c r="E541" t="s">
        <v>421</v>
      </c>
      <c r="F541" t="s">
        <v>375</v>
      </c>
      <c r="G541" t="s">
        <v>27</v>
      </c>
      <c r="H541" s="1" t="s">
        <v>28</v>
      </c>
      <c r="I541" t="s">
        <v>35</v>
      </c>
      <c r="J541">
        <v>28</v>
      </c>
      <c r="K541">
        <v>2.58</v>
      </c>
      <c r="L541">
        <v>72.27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30</v>
      </c>
      <c r="S541" t="s">
        <v>31</v>
      </c>
    </row>
    <row r="542" spans="1:19" x14ac:dyDescent="0.3">
      <c r="A542">
        <v>5553</v>
      </c>
      <c r="B542" t="s">
        <v>32</v>
      </c>
      <c r="C542" t="s">
        <v>23</v>
      </c>
      <c r="D542" t="s">
        <v>378</v>
      </c>
      <c r="E542" t="s">
        <v>416</v>
      </c>
      <c r="F542" t="s">
        <v>375</v>
      </c>
      <c r="G542" t="s">
        <v>27</v>
      </c>
      <c r="H542" s="1" t="s">
        <v>28</v>
      </c>
      <c r="I542" t="s">
        <v>35</v>
      </c>
      <c r="J542">
        <v>5</v>
      </c>
      <c r="K542">
        <v>13.8</v>
      </c>
      <c r="L542">
        <v>69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30</v>
      </c>
      <c r="S542" t="s">
        <v>31</v>
      </c>
    </row>
    <row r="543" spans="1:19" x14ac:dyDescent="0.3">
      <c r="A543">
        <v>5554</v>
      </c>
      <c r="B543" t="s">
        <v>32</v>
      </c>
      <c r="C543" t="s">
        <v>23</v>
      </c>
      <c r="D543" t="s">
        <v>378</v>
      </c>
      <c r="E543" t="s">
        <v>416</v>
      </c>
      <c r="F543" t="s">
        <v>375</v>
      </c>
      <c r="G543" t="s">
        <v>27</v>
      </c>
      <c r="H543" s="1" t="s">
        <v>28</v>
      </c>
      <c r="I543" t="s">
        <v>35</v>
      </c>
      <c r="J543">
        <v>5</v>
      </c>
      <c r="K543">
        <v>13.8</v>
      </c>
      <c r="L543">
        <v>69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30</v>
      </c>
      <c r="S543" t="s">
        <v>31</v>
      </c>
    </row>
    <row r="544" spans="1:19" x14ac:dyDescent="0.3">
      <c r="A544">
        <v>5555</v>
      </c>
      <c r="B544" t="s">
        <v>32</v>
      </c>
      <c r="C544" t="s">
        <v>23</v>
      </c>
      <c r="D544" t="s">
        <v>378</v>
      </c>
      <c r="E544" t="s">
        <v>420</v>
      </c>
      <c r="F544" t="s">
        <v>375</v>
      </c>
      <c r="G544" t="s">
        <v>27</v>
      </c>
      <c r="H544" s="1" t="s">
        <v>28</v>
      </c>
      <c r="I544" t="s">
        <v>35</v>
      </c>
      <c r="J544">
        <v>5</v>
      </c>
      <c r="K544">
        <v>13.37</v>
      </c>
      <c r="L544">
        <v>66.86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30</v>
      </c>
      <c r="S544" t="s">
        <v>31</v>
      </c>
    </row>
    <row r="545" spans="1:19" x14ac:dyDescent="0.3">
      <c r="A545">
        <v>5556</v>
      </c>
      <c r="B545" t="s">
        <v>32</v>
      </c>
      <c r="C545" t="s">
        <v>23</v>
      </c>
      <c r="D545" t="s">
        <v>378</v>
      </c>
      <c r="E545" t="s">
        <v>420</v>
      </c>
      <c r="F545" t="s">
        <v>375</v>
      </c>
      <c r="G545" t="s">
        <v>27</v>
      </c>
      <c r="H545" s="1" t="s">
        <v>28</v>
      </c>
      <c r="I545" t="s">
        <v>35</v>
      </c>
      <c r="J545">
        <v>5</v>
      </c>
      <c r="K545">
        <v>13.37</v>
      </c>
      <c r="L545">
        <v>66.86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</v>
      </c>
      <c r="S545" t="s">
        <v>31</v>
      </c>
    </row>
    <row r="546" spans="1:19" x14ac:dyDescent="0.3">
      <c r="A546">
        <v>5557</v>
      </c>
      <c r="B546" t="s">
        <v>32</v>
      </c>
      <c r="C546" t="s">
        <v>23</v>
      </c>
      <c r="D546" t="s">
        <v>378</v>
      </c>
      <c r="E546" t="s">
        <v>419</v>
      </c>
      <c r="F546" t="s">
        <v>375</v>
      </c>
      <c r="G546" t="s">
        <v>27</v>
      </c>
      <c r="H546" s="1" t="s">
        <v>28</v>
      </c>
      <c r="I546" t="s">
        <v>35</v>
      </c>
      <c r="J546">
        <v>48</v>
      </c>
      <c r="K546">
        <v>1.34</v>
      </c>
      <c r="L546">
        <v>64.459999999999994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30</v>
      </c>
      <c r="S546" t="s">
        <v>31</v>
      </c>
    </row>
    <row r="547" spans="1:19" x14ac:dyDescent="0.3">
      <c r="A547">
        <v>5558</v>
      </c>
      <c r="B547" t="s">
        <v>32</v>
      </c>
      <c r="C547" t="s">
        <v>23</v>
      </c>
      <c r="D547" t="s">
        <v>378</v>
      </c>
      <c r="E547" t="s">
        <v>422</v>
      </c>
      <c r="F547" t="s">
        <v>375</v>
      </c>
      <c r="G547" t="s">
        <v>27</v>
      </c>
      <c r="H547" s="1" t="s">
        <v>28</v>
      </c>
      <c r="I547" t="s">
        <v>35</v>
      </c>
      <c r="J547">
        <v>76</v>
      </c>
      <c r="K547">
        <v>0.79</v>
      </c>
      <c r="L547">
        <v>60.08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</v>
      </c>
      <c r="S547" t="s">
        <v>31</v>
      </c>
    </row>
    <row r="548" spans="1:19" x14ac:dyDescent="0.3">
      <c r="A548">
        <v>5559</v>
      </c>
      <c r="B548" t="s">
        <v>32</v>
      </c>
      <c r="C548" t="s">
        <v>23</v>
      </c>
      <c r="D548" t="s">
        <v>378</v>
      </c>
      <c r="E548" t="s">
        <v>422</v>
      </c>
      <c r="F548" t="s">
        <v>375</v>
      </c>
      <c r="G548" t="s">
        <v>27</v>
      </c>
      <c r="H548" s="1" t="s">
        <v>28</v>
      </c>
      <c r="I548" t="s">
        <v>35</v>
      </c>
      <c r="J548">
        <v>76</v>
      </c>
      <c r="K548">
        <v>0.79</v>
      </c>
      <c r="L548">
        <v>60.08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</v>
      </c>
      <c r="S548" t="s">
        <v>31</v>
      </c>
    </row>
    <row r="549" spans="1:19" x14ac:dyDescent="0.3">
      <c r="A549">
        <v>5560</v>
      </c>
      <c r="B549" t="s">
        <v>32</v>
      </c>
      <c r="C549" t="s">
        <v>23</v>
      </c>
      <c r="D549" t="s">
        <v>378</v>
      </c>
      <c r="E549" t="s">
        <v>423</v>
      </c>
      <c r="F549" t="s">
        <v>375</v>
      </c>
      <c r="G549" t="s">
        <v>27</v>
      </c>
      <c r="H549" s="1" t="s">
        <v>28</v>
      </c>
      <c r="I549" t="s">
        <v>35</v>
      </c>
      <c r="J549">
        <v>84</v>
      </c>
      <c r="K549">
        <v>0.68</v>
      </c>
      <c r="L549">
        <v>56.8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</v>
      </c>
      <c r="S549" t="s">
        <v>31</v>
      </c>
    </row>
    <row r="550" spans="1:19" x14ac:dyDescent="0.3">
      <c r="A550">
        <v>5561</v>
      </c>
      <c r="B550" t="s">
        <v>32</v>
      </c>
      <c r="C550" t="s">
        <v>23</v>
      </c>
      <c r="D550" t="s">
        <v>378</v>
      </c>
      <c r="E550" t="s">
        <v>424</v>
      </c>
      <c r="F550" t="s">
        <v>375</v>
      </c>
      <c r="G550" t="s">
        <v>27</v>
      </c>
      <c r="H550" s="1" t="s">
        <v>28</v>
      </c>
      <c r="I550" t="s">
        <v>35</v>
      </c>
      <c r="J550">
        <v>38</v>
      </c>
      <c r="K550">
        <v>1.49</v>
      </c>
      <c r="L550">
        <v>56.46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30</v>
      </c>
      <c r="S550" t="s">
        <v>31</v>
      </c>
    </row>
    <row r="551" spans="1:19" x14ac:dyDescent="0.3">
      <c r="A551">
        <v>5562</v>
      </c>
      <c r="B551" t="s">
        <v>32</v>
      </c>
      <c r="C551" t="s">
        <v>23</v>
      </c>
      <c r="D551" t="s">
        <v>378</v>
      </c>
      <c r="E551" t="s">
        <v>424</v>
      </c>
      <c r="F551" t="s">
        <v>375</v>
      </c>
      <c r="G551" t="s">
        <v>27</v>
      </c>
      <c r="H551" s="1" t="s">
        <v>28</v>
      </c>
      <c r="I551" t="s">
        <v>35</v>
      </c>
      <c r="J551">
        <v>38</v>
      </c>
      <c r="K551">
        <v>1.49</v>
      </c>
      <c r="L551">
        <v>56.46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30</v>
      </c>
      <c r="S551" t="s">
        <v>31</v>
      </c>
    </row>
    <row r="552" spans="1:19" x14ac:dyDescent="0.3">
      <c r="A552">
        <v>5563</v>
      </c>
      <c r="B552" t="s">
        <v>32</v>
      </c>
      <c r="C552" t="s">
        <v>23</v>
      </c>
      <c r="D552" t="s">
        <v>378</v>
      </c>
      <c r="E552" t="s">
        <v>420</v>
      </c>
      <c r="F552" t="s">
        <v>375</v>
      </c>
      <c r="G552" t="s">
        <v>27</v>
      </c>
      <c r="H552" s="1" t="s">
        <v>28</v>
      </c>
      <c r="I552" t="s">
        <v>35</v>
      </c>
      <c r="J552">
        <v>4</v>
      </c>
      <c r="K552">
        <v>13.37</v>
      </c>
      <c r="L552">
        <v>53.49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30</v>
      </c>
      <c r="S552" t="s">
        <v>31</v>
      </c>
    </row>
    <row r="553" spans="1:19" x14ac:dyDescent="0.3">
      <c r="A553">
        <v>5564</v>
      </c>
      <c r="B553" t="s">
        <v>32</v>
      </c>
      <c r="C553" t="s">
        <v>23</v>
      </c>
      <c r="D553" t="s">
        <v>378</v>
      </c>
      <c r="E553" t="s">
        <v>425</v>
      </c>
      <c r="F553" t="s">
        <v>375</v>
      </c>
      <c r="G553" t="s">
        <v>27</v>
      </c>
      <c r="H553" s="1" t="s">
        <v>28</v>
      </c>
      <c r="I553" t="s">
        <v>35</v>
      </c>
      <c r="J553">
        <v>31</v>
      </c>
      <c r="K553">
        <v>1.72</v>
      </c>
      <c r="L553">
        <v>53.44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30</v>
      </c>
      <c r="S553" t="s">
        <v>31</v>
      </c>
    </row>
    <row r="554" spans="1:19" x14ac:dyDescent="0.3">
      <c r="A554">
        <v>5565</v>
      </c>
      <c r="B554" t="s">
        <v>32</v>
      </c>
      <c r="C554" t="s">
        <v>23</v>
      </c>
      <c r="D554" t="s">
        <v>378</v>
      </c>
      <c r="E554" t="s">
        <v>421</v>
      </c>
      <c r="F554" t="s">
        <v>375</v>
      </c>
      <c r="G554" t="s">
        <v>27</v>
      </c>
      <c r="H554" s="1" t="s">
        <v>28</v>
      </c>
      <c r="I554" t="s">
        <v>35</v>
      </c>
      <c r="J554">
        <v>20</v>
      </c>
      <c r="K554">
        <v>2.58</v>
      </c>
      <c r="L554">
        <v>51.62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30</v>
      </c>
      <c r="S554" t="s">
        <v>31</v>
      </c>
    </row>
    <row r="555" spans="1:19" x14ac:dyDescent="0.3">
      <c r="A555">
        <v>5566</v>
      </c>
      <c r="B555" t="s">
        <v>32</v>
      </c>
      <c r="C555" t="s">
        <v>23</v>
      </c>
      <c r="D555" t="s">
        <v>378</v>
      </c>
      <c r="E555" t="s">
        <v>426</v>
      </c>
      <c r="F555" t="s">
        <v>375</v>
      </c>
      <c r="G555" t="s">
        <v>27</v>
      </c>
      <c r="H555" s="1" t="s">
        <v>28</v>
      </c>
      <c r="I555" t="s">
        <v>35</v>
      </c>
      <c r="J555">
        <v>36</v>
      </c>
      <c r="K555">
        <v>1.41</v>
      </c>
      <c r="L555">
        <v>50.74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</v>
      </c>
      <c r="S555" t="s">
        <v>31</v>
      </c>
    </row>
    <row r="556" spans="1:19" x14ac:dyDescent="0.3">
      <c r="A556">
        <v>5567</v>
      </c>
      <c r="B556" t="s">
        <v>32</v>
      </c>
      <c r="C556" t="s">
        <v>23</v>
      </c>
      <c r="D556" t="s">
        <v>378</v>
      </c>
      <c r="E556" t="s">
        <v>425</v>
      </c>
      <c r="F556" t="s">
        <v>375</v>
      </c>
      <c r="G556" t="s">
        <v>27</v>
      </c>
      <c r="H556" s="1" t="s">
        <v>28</v>
      </c>
      <c r="I556" t="s">
        <v>35</v>
      </c>
      <c r="J556">
        <v>28</v>
      </c>
      <c r="K556">
        <v>1.72</v>
      </c>
      <c r="L556">
        <v>48.27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30</v>
      </c>
      <c r="S556" t="s">
        <v>31</v>
      </c>
    </row>
    <row r="557" spans="1:19" x14ac:dyDescent="0.3">
      <c r="A557">
        <v>5568</v>
      </c>
      <c r="B557" t="s">
        <v>32</v>
      </c>
      <c r="C557" t="s">
        <v>23</v>
      </c>
      <c r="D557" t="s">
        <v>378</v>
      </c>
      <c r="E557" t="s">
        <v>427</v>
      </c>
      <c r="F557" t="s">
        <v>375</v>
      </c>
      <c r="G557" t="s">
        <v>27</v>
      </c>
      <c r="H557" s="1" t="s">
        <v>28</v>
      </c>
      <c r="I557" t="s">
        <v>35</v>
      </c>
      <c r="J557">
        <v>7</v>
      </c>
      <c r="K557">
        <v>6.21</v>
      </c>
      <c r="L557">
        <v>43.47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30</v>
      </c>
      <c r="S557" t="s">
        <v>31</v>
      </c>
    </row>
    <row r="558" spans="1:19" x14ac:dyDescent="0.3">
      <c r="A558">
        <v>5569</v>
      </c>
      <c r="B558" t="s">
        <v>32</v>
      </c>
      <c r="C558" t="s">
        <v>23</v>
      </c>
      <c r="D558" t="s">
        <v>378</v>
      </c>
      <c r="E558" t="s">
        <v>427</v>
      </c>
      <c r="F558" t="s">
        <v>375</v>
      </c>
      <c r="G558" t="s">
        <v>27</v>
      </c>
      <c r="H558" s="1" t="s">
        <v>28</v>
      </c>
      <c r="I558" t="s">
        <v>35</v>
      </c>
      <c r="J558">
        <v>7</v>
      </c>
      <c r="K558">
        <v>6.21</v>
      </c>
      <c r="L558">
        <v>43.47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30</v>
      </c>
      <c r="S558" t="s">
        <v>31</v>
      </c>
    </row>
    <row r="559" spans="1:19" x14ac:dyDescent="0.3">
      <c r="A559">
        <v>5570</v>
      </c>
      <c r="B559" t="s">
        <v>32</v>
      </c>
      <c r="C559" t="s">
        <v>23</v>
      </c>
      <c r="D559" t="s">
        <v>378</v>
      </c>
      <c r="E559" t="s">
        <v>422</v>
      </c>
      <c r="F559" t="s">
        <v>375</v>
      </c>
      <c r="G559" t="s">
        <v>27</v>
      </c>
      <c r="H559" s="1" t="s">
        <v>28</v>
      </c>
      <c r="I559" t="s">
        <v>35</v>
      </c>
      <c r="J559">
        <v>52</v>
      </c>
      <c r="K559">
        <v>0.79</v>
      </c>
      <c r="L559">
        <v>41.1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30</v>
      </c>
      <c r="S559" t="s">
        <v>31</v>
      </c>
    </row>
    <row r="560" spans="1:19" x14ac:dyDescent="0.3">
      <c r="A560">
        <v>5571</v>
      </c>
      <c r="B560" t="s">
        <v>32</v>
      </c>
      <c r="C560" t="s">
        <v>23</v>
      </c>
      <c r="D560" t="s">
        <v>378</v>
      </c>
      <c r="E560" t="s">
        <v>422</v>
      </c>
      <c r="F560" t="s">
        <v>375</v>
      </c>
      <c r="G560" t="s">
        <v>27</v>
      </c>
      <c r="H560" s="1" t="s">
        <v>28</v>
      </c>
      <c r="I560" t="s">
        <v>35</v>
      </c>
      <c r="J560">
        <v>52</v>
      </c>
      <c r="K560">
        <v>0.79</v>
      </c>
      <c r="L560">
        <v>41.1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30</v>
      </c>
      <c r="S560" t="s">
        <v>31</v>
      </c>
    </row>
    <row r="561" spans="1:19" x14ac:dyDescent="0.3">
      <c r="A561">
        <v>5572</v>
      </c>
      <c r="B561" t="s">
        <v>32</v>
      </c>
      <c r="C561" t="s">
        <v>23</v>
      </c>
      <c r="D561" t="s">
        <v>378</v>
      </c>
      <c r="E561" t="s">
        <v>417</v>
      </c>
      <c r="F561" t="s">
        <v>375</v>
      </c>
      <c r="G561" t="s">
        <v>27</v>
      </c>
      <c r="H561" s="1" t="s">
        <v>28</v>
      </c>
      <c r="I561" t="s">
        <v>35</v>
      </c>
      <c r="J561">
        <v>28</v>
      </c>
      <c r="K561">
        <v>1.43</v>
      </c>
      <c r="L561">
        <v>40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30</v>
      </c>
      <c r="S561" t="s">
        <v>31</v>
      </c>
    </row>
    <row r="562" spans="1:19" x14ac:dyDescent="0.3">
      <c r="A562">
        <v>5573</v>
      </c>
      <c r="B562" t="s">
        <v>32</v>
      </c>
      <c r="C562" t="s">
        <v>23</v>
      </c>
      <c r="D562" t="s">
        <v>378</v>
      </c>
      <c r="E562" t="s">
        <v>424</v>
      </c>
      <c r="F562" t="s">
        <v>375</v>
      </c>
      <c r="G562" t="s">
        <v>27</v>
      </c>
      <c r="H562" s="1" t="s">
        <v>28</v>
      </c>
      <c r="I562" t="s">
        <v>35</v>
      </c>
      <c r="J562">
        <v>26</v>
      </c>
      <c r="K562">
        <v>1.49</v>
      </c>
      <c r="L562">
        <v>38.630000000000003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30</v>
      </c>
      <c r="S562" t="s">
        <v>31</v>
      </c>
    </row>
    <row r="563" spans="1:19" x14ac:dyDescent="0.3">
      <c r="A563">
        <v>5574</v>
      </c>
      <c r="B563" t="s">
        <v>32</v>
      </c>
      <c r="C563" t="s">
        <v>23</v>
      </c>
      <c r="D563" t="s">
        <v>378</v>
      </c>
      <c r="E563" t="s">
        <v>424</v>
      </c>
      <c r="F563" t="s">
        <v>375</v>
      </c>
      <c r="G563" t="s">
        <v>27</v>
      </c>
      <c r="H563" s="1" t="s">
        <v>28</v>
      </c>
      <c r="I563" t="s">
        <v>35</v>
      </c>
      <c r="J563">
        <v>26</v>
      </c>
      <c r="K563">
        <v>1.49</v>
      </c>
      <c r="L563">
        <v>38.630000000000003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30</v>
      </c>
      <c r="S563" t="s">
        <v>31</v>
      </c>
    </row>
    <row r="564" spans="1:19" x14ac:dyDescent="0.3">
      <c r="A564">
        <v>5575</v>
      </c>
      <c r="B564" t="s">
        <v>32</v>
      </c>
      <c r="C564" t="s">
        <v>23</v>
      </c>
      <c r="D564" t="s">
        <v>378</v>
      </c>
      <c r="E564" t="s">
        <v>422</v>
      </c>
      <c r="F564" t="s">
        <v>375</v>
      </c>
      <c r="G564" t="s">
        <v>27</v>
      </c>
      <c r="H564" s="1" t="s">
        <v>28</v>
      </c>
      <c r="I564" t="s">
        <v>35</v>
      </c>
      <c r="J564">
        <v>48</v>
      </c>
      <c r="K564">
        <v>0.79</v>
      </c>
      <c r="L564">
        <v>37.94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</v>
      </c>
      <c r="S564" t="s">
        <v>31</v>
      </c>
    </row>
    <row r="565" spans="1:19" x14ac:dyDescent="0.3">
      <c r="A565">
        <v>5576</v>
      </c>
      <c r="B565" t="s">
        <v>32</v>
      </c>
      <c r="C565" t="s">
        <v>23</v>
      </c>
      <c r="D565" t="s">
        <v>378</v>
      </c>
      <c r="E565" t="s">
        <v>421</v>
      </c>
      <c r="F565" t="s">
        <v>375</v>
      </c>
      <c r="G565" t="s">
        <v>27</v>
      </c>
      <c r="H565" s="1" t="s">
        <v>28</v>
      </c>
      <c r="I565" t="s">
        <v>35</v>
      </c>
      <c r="J565">
        <v>14</v>
      </c>
      <c r="K565">
        <v>2.58</v>
      </c>
      <c r="L565">
        <v>36.130000000000003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30</v>
      </c>
      <c r="S565" t="s">
        <v>31</v>
      </c>
    </row>
    <row r="566" spans="1:19" x14ac:dyDescent="0.3">
      <c r="A566">
        <v>5577</v>
      </c>
      <c r="B566" t="s">
        <v>32</v>
      </c>
      <c r="C566" t="s">
        <v>23</v>
      </c>
      <c r="D566" t="s">
        <v>378</v>
      </c>
      <c r="E566" t="s">
        <v>424</v>
      </c>
      <c r="F566" t="s">
        <v>375</v>
      </c>
      <c r="G566" t="s">
        <v>27</v>
      </c>
      <c r="H566" s="1" t="s">
        <v>28</v>
      </c>
      <c r="I566" t="s">
        <v>35</v>
      </c>
      <c r="J566">
        <v>24</v>
      </c>
      <c r="K566">
        <v>1.49</v>
      </c>
      <c r="L566">
        <v>35.659999999999997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30</v>
      </c>
      <c r="S566" t="s">
        <v>31</v>
      </c>
    </row>
    <row r="567" spans="1:19" x14ac:dyDescent="0.3">
      <c r="A567">
        <v>5578</v>
      </c>
      <c r="B567" t="s">
        <v>32</v>
      </c>
      <c r="C567" t="s">
        <v>23</v>
      </c>
      <c r="D567" t="s">
        <v>378</v>
      </c>
      <c r="E567" t="s">
        <v>425</v>
      </c>
      <c r="F567" t="s">
        <v>375</v>
      </c>
      <c r="G567" t="s">
        <v>27</v>
      </c>
      <c r="H567" s="1" t="s">
        <v>28</v>
      </c>
      <c r="I567" t="s">
        <v>35</v>
      </c>
      <c r="J567">
        <v>20</v>
      </c>
      <c r="K567">
        <v>1.72</v>
      </c>
      <c r="L567">
        <v>34.479999999999997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30</v>
      </c>
      <c r="S567" t="s">
        <v>31</v>
      </c>
    </row>
    <row r="568" spans="1:19" x14ac:dyDescent="0.3">
      <c r="A568">
        <v>5579</v>
      </c>
      <c r="B568" t="s">
        <v>32</v>
      </c>
      <c r="C568" t="s">
        <v>23</v>
      </c>
      <c r="D568" t="s">
        <v>378</v>
      </c>
      <c r="E568" t="s">
        <v>426</v>
      </c>
      <c r="F568" t="s">
        <v>375</v>
      </c>
      <c r="G568" t="s">
        <v>27</v>
      </c>
      <c r="H568" s="1" t="s">
        <v>28</v>
      </c>
      <c r="I568" t="s">
        <v>35</v>
      </c>
      <c r="J568">
        <v>24</v>
      </c>
      <c r="K568">
        <v>1.41</v>
      </c>
      <c r="L568">
        <v>33.83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30</v>
      </c>
      <c r="S568" t="s">
        <v>31</v>
      </c>
    </row>
    <row r="569" spans="1:19" x14ac:dyDescent="0.3">
      <c r="A569">
        <v>5580</v>
      </c>
      <c r="B569" t="s">
        <v>32</v>
      </c>
      <c r="C569" t="s">
        <v>23</v>
      </c>
      <c r="D569" t="s">
        <v>378</v>
      </c>
      <c r="E569" t="s">
        <v>421</v>
      </c>
      <c r="F569" t="s">
        <v>375</v>
      </c>
      <c r="G569" t="s">
        <v>27</v>
      </c>
      <c r="H569" s="1" t="s">
        <v>28</v>
      </c>
      <c r="I569" t="s">
        <v>35</v>
      </c>
      <c r="J569">
        <v>13</v>
      </c>
      <c r="K569">
        <v>2.58</v>
      </c>
      <c r="L569">
        <v>33.549999999999997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30</v>
      </c>
      <c r="S569" t="s">
        <v>31</v>
      </c>
    </row>
    <row r="570" spans="1:19" x14ac:dyDescent="0.3">
      <c r="A570">
        <v>5581</v>
      </c>
      <c r="B570" t="s">
        <v>32</v>
      </c>
      <c r="C570" t="s">
        <v>23</v>
      </c>
      <c r="D570" t="s">
        <v>378</v>
      </c>
      <c r="E570" t="s">
        <v>423</v>
      </c>
      <c r="F570" t="s">
        <v>375</v>
      </c>
      <c r="G570" t="s">
        <v>27</v>
      </c>
      <c r="H570" s="1" t="s">
        <v>28</v>
      </c>
      <c r="I570" t="s">
        <v>35</v>
      </c>
      <c r="J570">
        <v>48</v>
      </c>
      <c r="K570">
        <v>0.68</v>
      </c>
      <c r="L570">
        <v>32.46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30</v>
      </c>
      <c r="S570" t="s">
        <v>31</v>
      </c>
    </row>
    <row r="571" spans="1:19" x14ac:dyDescent="0.3">
      <c r="A571">
        <v>5582</v>
      </c>
      <c r="B571" t="s">
        <v>32</v>
      </c>
      <c r="C571" t="s">
        <v>23</v>
      </c>
      <c r="D571" t="s">
        <v>378</v>
      </c>
      <c r="E571" t="s">
        <v>422</v>
      </c>
      <c r="F571" t="s">
        <v>375</v>
      </c>
      <c r="G571" t="s">
        <v>27</v>
      </c>
      <c r="H571" s="1" t="s">
        <v>28</v>
      </c>
      <c r="I571" t="s">
        <v>35</v>
      </c>
      <c r="J571">
        <v>40</v>
      </c>
      <c r="K571">
        <v>0.79</v>
      </c>
      <c r="L571">
        <v>31.62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30</v>
      </c>
      <c r="S571" t="s">
        <v>31</v>
      </c>
    </row>
    <row r="572" spans="1:19" x14ac:dyDescent="0.3">
      <c r="A572">
        <v>5583</v>
      </c>
      <c r="B572" t="s">
        <v>32</v>
      </c>
      <c r="C572" t="s">
        <v>23</v>
      </c>
      <c r="D572" t="s">
        <v>378</v>
      </c>
      <c r="E572" t="s">
        <v>422</v>
      </c>
      <c r="F572" t="s">
        <v>375</v>
      </c>
      <c r="G572" t="s">
        <v>27</v>
      </c>
      <c r="H572" s="1" t="s">
        <v>28</v>
      </c>
      <c r="I572" t="s">
        <v>35</v>
      </c>
      <c r="J572">
        <v>40</v>
      </c>
      <c r="K572">
        <v>0.79</v>
      </c>
      <c r="L572">
        <v>31.62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30</v>
      </c>
      <c r="S572" t="s">
        <v>31</v>
      </c>
    </row>
    <row r="573" spans="1:19" x14ac:dyDescent="0.3">
      <c r="A573">
        <v>5584</v>
      </c>
      <c r="B573" t="s">
        <v>32</v>
      </c>
      <c r="C573" t="s">
        <v>23</v>
      </c>
      <c r="D573" t="s">
        <v>378</v>
      </c>
      <c r="E573" t="s">
        <v>427</v>
      </c>
      <c r="F573" t="s">
        <v>375</v>
      </c>
      <c r="G573" t="s">
        <v>27</v>
      </c>
      <c r="H573" s="1" t="s">
        <v>28</v>
      </c>
      <c r="I573" t="s">
        <v>35</v>
      </c>
      <c r="J573">
        <v>5</v>
      </c>
      <c r="K573">
        <v>6.21</v>
      </c>
      <c r="L573">
        <v>31.05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30</v>
      </c>
      <c r="S573" t="s">
        <v>31</v>
      </c>
    </row>
    <row r="574" spans="1:19" x14ac:dyDescent="0.3">
      <c r="A574">
        <v>5585</v>
      </c>
      <c r="B574" t="s">
        <v>32</v>
      </c>
      <c r="C574" t="s">
        <v>23</v>
      </c>
      <c r="D574" t="s">
        <v>378</v>
      </c>
      <c r="E574" t="s">
        <v>427</v>
      </c>
      <c r="F574" t="s">
        <v>375</v>
      </c>
      <c r="G574" t="s">
        <v>27</v>
      </c>
      <c r="H574" s="1" t="s">
        <v>28</v>
      </c>
      <c r="I574" t="s">
        <v>35</v>
      </c>
      <c r="J574">
        <v>5</v>
      </c>
      <c r="K574">
        <v>6.21</v>
      </c>
      <c r="L574">
        <v>31.05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</v>
      </c>
      <c r="S574" t="s">
        <v>31</v>
      </c>
    </row>
    <row r="575" spans="1:19" x14ac:dyDescent="0.3">
      <c r="A575">
        <v>5586</v>
      </c>
      <c r="B575" t="s">
        <v>32</v>
      </c>
      <c r="C575" t="s">
        <v>23</v>
      </c>
      <c r="D575" t="s">
        <v>378</v>
      </c>
      <c r="E575" t="s">
        <v>427</v>
      </c>
      <c r="F575" t="s">
        <v>375</v>
      </c>
      <c r="G575" t="s">
        <v>27</v>
      </c>
      <c r="H575" s="1" t="s">
        <v>28</v>
      </c>
      <c r="I575" t="s">
        <v>35</v>
      </c>
      <c r="J575">
        <v>5</v>
      </c>
      <c r="K575">
        <v>6.21</v>
      </c>
      <c r="L575">
        <v>31.05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30</v>
      </c>
      <c r="S575" t="s">
        <v>31</v>
      </c>
    </row>
    <row r="576" spans="1:19" x14ac:dyDescent="0.3">
      <c r="A576">
        <v>5587</v>
      </c>
      <c r="B576" t="s">
        <v>32</v>
      </c>
      <c r="C576" t="s">
        <v>23</v>
      </c>
      <c r="D576" t="s">
        <v>378</v>
      </c>
      <c r="E576" t="s">
        <v>428</v>
      </c>
      <c r="F576" t="s">
        <v>375</v>
      </c>
      <c r="G576" t="s">
        <v>27</v>
      </c>
      <c r="H576" s="1" t="s">
        <v>28</v>
      </c>
      <c r="I576" t="s">
        <v>35</v>
      </c>
      <c r="J576">
        <v>31</v>
      </c>
      <c r="K576">
        <v>0.86</v>
      </c>
      <c r="L576">
        <v>26.57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30</v>
      </c>
      <c r="S576" t="s">
        <v>31</v>
      </c>
    </row>
    <row r="577" spans="1:19" x14ac:dyDescent="0.3">
      <c r="A577">
        <v>5588</v>
      </c>
      <c r="B577" t="s">
        <v>32</v>
      </c>
      <c r="C577" t="s">
        <v>23</v>
      </c>
      <c r="D577" t="s">
        <v>378</v>
      </c>
      <c r="E577" t="s">
        <v>425</v>
      </c>
      <c r="F577" t="s">
        <v>375</v>
      </c>
      <c r="G577" t="s">
        <v>27</v>
      </c>
      <c r="H577" s="1" t="s">
        <v>28</v>
      </c>
      <c r="I577" t="s">
        <v>35</v>
      </c>
      <c r="J577">
        <v>14</v>
      </c>
      <c r="K577">
        <v>1.72</v>
      </c>
      <c r="L577">
        <v>24.13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</v>
      </c>
      <c r="S577" t="s">
        <v>31</v>
      </c>
    </row>
    <row r="578" spans="1:19" x14ac:dyDescent="0.3">
      <c r="A578">
        <v>5589</v>
      </c>
      <c r="B578" t="s">
        <v>32</v>
      </c>
      <c r="C578" t="s">
        <v>23</v>
      </c>
      <c r="D578" t="s">
        <v>378</v>
      </c>
      <c r="E578" t="s">
        <v>428</v>
      </c>
      <c r="F578" t="s">
        <v>375</v>
      </c>
      <c r="G578" t="s">
        <v>27</v>
      </c>
      <c r="H578" s="1" t="s">
        <v>28</v>
      </c>
      <c r="I578" t="s">
        <v>35</v>
      </c>
      <c r="J578">
        <v>28</v>
      </c>
      <c r="K578">
        <v>0.86</v>
      </c>
      <c r="L578">
        <v>24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30</v>
      </c>
      <c r="S578" t="s">
        <v>31</v>
      </c>
    </row>
    <row r="579" spans="1:19" x14ac:dyDescent="0.3">
      <c r="A579">
        <v>5590</v>
      </c>
      <c r="B579" t="s">
        <v>32</v>
      </c>
      <c r="C579" t="s">
        <v>23</v>
      </c>
      <c r="D579" t="s">
        <v>378</v>
      </c>
      <c r="E579" t="s">
        <v>425</v>
      </c>
      <c r="F579" t="s">
        <v>375</v>
      </c>
      <c r="G579" t="s">
        <v>27</v>
      </c>
      <c r="H579" s="1" t="s">
        <v>28</v>
      </c>
      <c r="I579" t="s">
        <v>35</v>
      </c>
      <c r="J579">
        <v>13</v>
      </c>
      <c r="K579">
        <v>1.72</v>
      </c>
      <c r="L579">
        <v>22.41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30</v>
      </c>
      <c r="S579" t="s">
        <v>31</v>
      </c>
    </row>
    <row r="580" spans="1:19" x14ac:dyDescent="0.3">
      <c r="A580">
        <v>5591</v>
      </c>
      <c r="B580" t="s">
        <v>32</v>
      </c>
      <c r="C580" t="s">
        <v>23</v>
      </c>
      <c r="D580" t="s">
        <v>378</v>
      </c>
      <c r="E580" t="s">
        <v>422</v>
      </c>
      <c r="F580" t="s">
        <v>375</v>
      </c>
      <c r="G580" t="s">
        <v>27</v>
      </c>
      <c r="H580" s="1" t="s">
        <v>28</v>
      </c>
      <c r="I580" t="s">
        <v>35</v>
      </c>
      <c r="J580">
        <v>28</v>
      </c>
      <c r="K580">
        <v>0.79</v>
      </c>
      <c r="L580">
        <v>22.13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30</v>
      </c>
      <c r="S580" t="s">
        <v>31</v>
      </c>
    </row>
    <row r="581" spans="1:19" x14ac:dyDescent="0.3">
      <c r="A581">
        <v>5592</v>
      </c>
      <c r="B581" t="s">
        <v>32</v>
      </c>
      <c r="C581" t="s">
        <v>23</v>
      </c>
      <c r="D581" t="s">
        <v>378</v>
      </c>
      <c r="E581" t="s">
        <v>422</v>
      </c>
      <c r="F581" t="s">
        <v>375</v>
      </c>
      <c r="G581" t="s">
        <v>27</v>
      </c>
      <c r="H581" s="1" t="s">
        <v>28</v>
      </c>
      <c r="I581" t="s">
        <v>35</v>
      </c>
      <c r="J581">
        <v>28</v>
      </c>
      <c r="K581">
        <v>0.79</v>
      </c>
      <c r="L581">
        <v>22.13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30</v>
      </c>
      <c r="S581" t="s">
        <v>31</v>
      </c>
    </row>
    <row r="582" spans="1:19" x14ac:dyDescent="0.3">
      <c r="A582">
        <v>5593</v>
      </c>
      <c r="B582" t="s">
        <v>32</v>
      </c>
      <c r="C582" t="s">
        <v>23</v>
      </c>
      <c r="D582" t="s">
        <v>378</v>
      </c>
      <c r="E582" t="s">
        <v>422</v>
      </c>
      <c r="F582" t="s">
        <v>375</v>
      </c>
      <c r="G582" t="s">
        <v>27</v>
      </c>
      <c r="H582" s="1" t="s">
        <v>28</v>
      </c>
      <c r="I582" t="s">
        <v>35</v>
      </c>
      <c r="J582">
        <v>26</v>
      </c>
      <c r="K582">
        <v>0.79</v>
      </c>
      <c r="L582">
        <v>20.55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30</v>
      </c>
      <c r="S582" t="s">
        <v>31</v>
      </c>
    </row>
    <row r="583" spans="1:19" x14ac:dyDescent="0.3">
      <c r="A583">
        <v>5594</v>
      </c>
      <c r="B583" t="s">
        <v>32</v>
      </c>
      <c r="C583" t="s">
        <v>23</v>
      </c>
      <c r="D583" t="s">
        <v>378</v>
      </c>
      <c r="E583" t="s">
        <v>428</v>
      </c>
      <c r="F583" t="s">
        <v>375</v>
      </c>
      <c r="G583" t="s">
        <v>27</v>
      </c>
      <c r="H583" s="1" t="s">
        <v>28</v>
      </c>
      <c r="I583" t="s">
        <v>35</v>
      </c>
      <c r="J583">
        <v>20</v>
      </c>
      <c r="K583">
        <v>0.86</v>
      </c>
      <c r="L583">
        <v>17.14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30</v>
      </c>
      <c r="S583" t="s">
        <v>31</v>
      </c>
    </row>
    <row r="584" spans="1:19" x14ac:dyDescent="0.3">
      <c r="A584">
        <v>5595</v>
      </c>
      <c r="B584" t="s">
        <v>32</v>
      </c>
      <c r="C584" t="s">
        <v>23</v>
      </c>
      <c r="D584" t="s">
        <v>378</v>
      </c>
      <c r="E584" t="s">
        <v>429</v>
      </c>
      <c r="F584" t="s">
        <v>375</v>
      </c>
      <c r="G584" t="s">
        <v>27</v>
      </c>
      <c r="H584" s="1" t="s">
        <v>28</v>
      </c>
      <c r="I584" t="s">
        <v>35</v>
      </c>
      <c r="J584">
        <v>1</v>
      </c>
      <c r="K584">
        <v>12.7</v>
      </c>
      <c r="L584">
        <v>12.7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</v>
      </c>
      <c r="S584" t="s">
        <v>31</v>
      </c>
    </row>
    <row r="585" spans="1:19" x14ac:dyDescent="0.3">
      <c r="A585">
        <v>5596</v>
      </c>
      <c r="B585" t="s">
        <v>32</v>
      </c>
      <c r="C585" t="s">
        <v>23</v>
      </c>
      <c r="D585" t="s">
        <v>378</v>
      </c>
      <c r="E585" t="s">
        <v>430</v>
      </c>
      <c r="F585" t="s">
        <v>375</v>
      </c>
      <c r="G585" t="s">
        <v>27</v>
      </c>
      <c r="H585" s="1" t="s">
        <v>28</v>
      </c>
      <c r="I585" t="s">
        <v>35</v>
      </c>
      <c r="J585">
        <v>1</v>
      </c>
      <c r="K585">
        <v>12.7</v>
      </c>
      <c r="L585">
        <v>12.7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30</v>
      </c>
      <c r="S585" t="s">
        <v>31</v>
      </c>
    </row>
    <row r="586" spans="1:19" x14ac:dyDescent="0.3">
      <c r="A586">
        <v>5597</v>
      </c>
      <c r="B586" t="s">
        <v>32</v>
      </c>
      <c r="C586" t="s">
        <v>23</v>
      </c>
      <c r="D586" t="s">
        <v>378</v>
      </c>
      <c r="E586" t="s">
        <v>428</v>
      </c>
      <c r="F586" t="s">
        <v>375</v>
      </c>
      <c r="G586" t="s">
        <v>27</v>
      </c>
      <c r="H586" s="1" t="s">
        <v>28</v>
      </c>
      <c r="I586" t="s">
        <v>35</v>
      </c>
      <c r="J586">
        <v>14</v>
      </c>
      <c r="K586">
        <v>0.86</v>
      </c>
      <c r="L586">
        <v>12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30</v>
      </c>
      <c r="S586" t="s">
        <v>31</v>
      </c>
    </row>
    <row r="587" spans="1:19" x14ac:dyDescent="0.3">
      <c r="A587">
        <v>5598</v>
      </c>
      <c r="B587" t="s">
        <v>32</v>
      </c>
      <c r="C587" t="s">
        <v>23</v>
      </c>
      <c r="D587" t="s">
        <v>378</v>
      </c>
      <c r="E587" t="s">
        <v>428</v>
      </c>
      <c r="F587" t="s">
        <v>375</v>
      </c>
      <c r="G587" t="s">
        <v>27</v>
      </c>
      <c r="H587" s="1" t="s">
        <v>28</v>
      </c>
      <c r="I587" t="s">
        <v>35</v>
      </c>
      <c r="J587">
        <v>13</v>
      </c>
      <c r="K587">
        <v>0.86</v>
      </c>
      <c r="L587">
        <v>11.14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</v>
      </c>
      <c r="S587" t="s">
        <v>31</v>
      </c>
    </row>
    <row r="588" spans="1:19" x14ac:dyDescent="0.3">
      <c r="A588">
        <v>5599</v>
      </c>
      <c r="B588" t="s">
        <v>32</v>
      </c>
      <c r="C588" t="s">
        <v>23</v>
      </c>
      <c r="D588" t="s">
        <v>378</v>
      </c>
      <c r="E588" t="s">
        <v>431</v>
      </c>
      <c r="F588" t="s">
        <v>375</v>
      </c>
      <c r="G588" t="s">
        <v>27</v>
      </c>
      <c r="H588" s="1" t="s">
        <v>28</v>
      </c>
      <c r="I588" t="s">
        <v>35</v>
      </c>
      <c r="J588">
        <v>1</v>
      </c>
      <c r="K588">
        <v>6.35</v>
      </c>
      <c r="L588">
        <v>6.35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30</v>
      </c>
      <c r="S588" t="s">
        <v>31</v>
      </c>
    </row>
    <row r="589" spans="1:19" x14ac:dyDescent="0.3">
      <c r="A589">
        <v>5600</v>
      </c>
      <c r="B589" t="s">
        <v>215</v>
      </c>
      <c r="C589" t="s">
        <v>23</v>
      </c>
      <c r="D589" t="s">
        <v>217</v>
      </c>
      <c r="E589" t="s">
        <v>432</v>
      </c>
      <c r="F589" t="s">
        <v>433</v>
      </c>
      <c r="G589" t="s">
        <v>27</v>
      </c>
      <c r="H589" s="1" t="s">
        <v>28</v>
      </c>
      <c r="I589" t="s">
        <v>29</v>
      </c>
      <c r="J589">
        <v>6182</v>
      </c>
      <c r="K589">
        <v>515.63</v>
      </c>
      <c r="L589">
        <v>3187601.28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30</v>
      </c>
      <c r="S589" t="s">
        <v>31</v>
      </c>
    </row>
    <row r="590" spans="1:19" x14ac:dyDescent="0.3">
      <c r="A590">
        <v>5601</v>
      </c>
      <c r="B590" t="s">
        <v>39</v>
      </c>
      <c r="C590" t="s">
        <v>23</v>
      </c>
      <c r="D590" t="s">
        <v>129</v>
      </c>
      <c r="E590" t="s">
        <v>434</v>
      </c>
      <c r="F590" t="s">
        <v>433</v>
      </c>
      <c r="G590" t="s">
        <v>27</v>
      </c>
      <c r="H590" s="1" t="s">
        <v>28</v>
      </c>
      <c r="I590" t="s">
        <v>52</v>
      </c>
      <c r="J590">
        <v>7360</v>
      </c>
      <c r="K590">
        <v>106.67</v>
      </c>
      <c r="L590">
        <v>785066.67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30</v>
      </c>
      <c r="S590" t="s">
        <v>31</v>
      </c>
    </row>
    <row r="591" spans="1:19" x14ac:dyDescent="0.3">
      <c r="A591">
        <v>5602</v>
      </c>
      <c r="B591" t="s">
        <v>219</v>
      </c>
      <c r="C591" t="s">
        <v>435</v>
      </c>
      <c r="D591" t="s">
        <v>436</v>
      </c>
      <c r="E591" t="s">
        <v>437</v>
      </c>
      <c r="F591" t="s">
        <v>433</v>
      </c>
      <c r="G591" t="s">
        <v>27</v>
      </c>
      <c r="H591" s="1" t="s">
        <v>28</v>
      </c>
      <c r="I591" t="s">
        <v>29</v>
      </c>
      <c r="J591">
        <v>1</v>
      </c>
      <c r="K591">
        <v>523809.52</v>
      </c>
      <c r="L591">
        <v>523809.52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</v>
      </c>
      <c r="S591" t="s">
        <v>31</v>
      </c>
    </row>
    <row r="592" spans="1:19" x14ac:dyDescent="0.3">
      <c r="A592">
        <v>5603</v>
      </c>
      <c r="B592" t="s">
        <v>54</v>
      </c>
      <c r="C592" t="s">
        <v>23</v>
      </c>
      <c r="D592" t="s">
        <v>54</v>
      </c>
      <c r="E592" t="s">
        <v>438</v>
      </c>
      <c r="F592" t="s">
        <v>433</v>
      </c>
      <c r="G592" t="s">
        <v>27</v>
      </c>
      <c r="H592" s="1" t="s">
        <v>28</v>
      </c>
      <c r="I592" t="s">
        <v>35</v>
      </c>
      <c r="J592">
        <v>11</v>
      </c>
      <c r="K592">
        <v>40480</v>
      </c>
      <c r="L592">
        <v>445280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30</v>
      </c>
      <c r="S592" t="s">
        <v>31</v>
      </c>
    </row>
    <row r="593" spans="1:19" x14ac:dyDescent="0.3">
      <c r="A593">
        <v>5604</v>
      </c>
      <c r="B593" t="s">
        <v>54</v>
      </c>
      <c r="C593" t="s">
        <v>23</v>
      </c>
      <c r="D593" t="s">
        <v>54</v>
      </c>
      <c r="E593" t="s">
        <v>439</v>
      </c>
      <c r="F593" t="s">
        <v>433</v>
      </c>
      <c r="G593" t="s">
        <v>27</v>
      </c>
      <c r="H593" s="1" t="s">
        <v>28</v>
      </c>
      <c r="I593" t="s">
        <v>35</v>
      </c>
      <c r="J593">
        <v>1</v>
      </c>
      <c r="K593">
        <v>348215.24</v>
      </c>
      <c r="L593">
        <v>348215.24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30</v>
      </c>
      <c r="S593" t="s">
        <v>31</v>
      </c>
    </row>
    <row r="594" spans="1:19" x14ac:dyDescent="0.3">
      <c r="A594">
        <v>5605</v>
      </c>
      <c r="B594" t="s">
        <v>54</v>
      </c>
      <c r="C594" t="s">
        <v>23</v>
      </c>
      <c r="D594" t="s">
        <v>54</v>
      </c>
      <c r="E594" t="s">
        <v>440</v>
      </c>
      <c r="F594" t="s">
        <v>433</v>
      </c>
      <c r="G594" t="s">
        <v>27</v>
      </c>
      <c r="H594" s="1" t="s">
        <v>28</v>
      </c>
      <c r="I594" t="s">
        <v>35</v>
      </c>
      <c r="J594">
        <v>3</v>
      </c>
      <c r="K594">
        <v>112360.48</v>
      </c>
      <c r="L594">
        <v>337081.43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30</v>
      </c>
      <c r="S594" t="s">
        <v>31</v>
      </c>
    </row>
    <row r="595" spans="1:19" x14ac:dyDescent="0.3">
      <c r="A595">
        <v>5606</v>
      </c>
      <c r="B595" t="s">
        <v>39</v>
      </c>
      <c r="C595" t="s">
        <v>23</v>
      </c>
      <c r="D595" t="s">
        <v>212</v>
      </c>
      <c r="E595" t="s">
        <v>441</v>
      </c>
      <c r="F595" t="s">
        <v>433</v>
      </c>
      <c r="G595" t="s">
        <v>27</v>
      </c>
      <c r="H595" s="1" t="s">
        <v>28</v>
      </c>
      <c r="I595" t="s">
        <v>52</v>
      </c>
      <c r="J595">
        <v>3900</v>
      </c>
      <c r="K595">
        <v>80</v>
      </c>
      <c r="L595">
        <v>312000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30</v>
      </c>
      <c r="S595" t="s">
        <v>31</v>
      </c>
    </row>
    <row r="596" spans="1:19" x14ac:dyDescent="0.3">
      <c r="A596">
        <v>5607</v>
      </c>
      <c r="B596" t="s">
        <v>39</v>
      </c>
      <c r="C596" t="s">
        <v>23</v>
      </c>
      <c r="D596" t="s">
        <v>212</v>
      </c>
      <c r="E596" t="s">
        <v>442</v>
      </c>
      <c r="F596" t="s">
        <v>433</v>
      </c>
      <c r="G596" t="s">
        <v>27</v>
      </c>
      <c r="H596" s="1" t="s">
        <v>28</v>
      </c>
      <c r="I596" t="s">
        <v>121</v>
      </c>
      <c r="J596">
        <v>713.6</v>
      </c>
      <c r="K596">
        <v>416.9</v>
      </c>
      <c r="L596">
        <v>297496.44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30</v>
      </c>
      <c r="S596" t="s">
        <v>31</v>
      </c>
    </row>
    <row r="597" spans="1:19" x14ac:dyDescent="0.3">
      <c r="A597">
        <v>5608</v>
      </c>
      <c r="B597" t="s">
        <v>39</v>
      </c>
      <c r="C597" t="s">
        <v>23</v>
      </c>
      <c r="D597" t="s">
        <v>212</v>
      </c>
      <c r="E597" t="s">
        <v>443</v>
      </c>
      <c r="F597" t="s">
        <v>433</v>
      </c>
      <c r="G597" t="s">
        <v>27</v>
      </c>
      <c r="H597" s="1" t="s">
        <v>28</v>
      </c>
      <c r="I597" t="s">
        <v>52</v>
      </c>
      <c r="J597">
        <v>2950</v>
      </c>
      <c r="K597">
        <v>88.71</v>
      </c>
      <c r="L597">
        <v>261707.14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30</v>
      </c>
      <c r="S597" t="s">
        <v>31</v>
      </c>
    </row>
    <row r="598" spans="1:19" x14ac:dyDescent="0.3">
      <c r="A598">
        <v>5609</v>
      </c>
      <c r="B598" t="s">
        <v>39</v>
      </c>
      <c r="C598" t="s">
        <v>23</v>
      </c>
      <c r="D598" t="s">
        <v>129</v>
      </c>
      <c r="E598" t="s">
        <v>444</v>
      </c>
      <c r="F598" t="s">
        <v>433</v>
      </c>
      <c r="G598" t="s">
        <v>27</v>
      </c>
      <c r="H598" s="1" t="s">
        <v>28</v>
      </c>
      <c r="I598" t="s">
        <v>112</v>
      </c>
      <c r="J598">
        <v>107580</v>
      </c>
      <c r="K598">
        <v>2.38</v>
      </c>
      <c r="L598">
        <v>256142.86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30</v>
      </c>
      <c r="S598" t="s">
        <v>31</v>
      </c>
    </row>
    <row r="599" spans="1:19" x14ac:dyDescent="0.3">
      <c r="A599">
        <v>5610</v>
      </c>
      <c r="B599" t="s">
        <v>54</v>
      </c>
      <c r="C599" t="s">
        <v>23</v>
      </c>
      <c r="D599" t="s">
        <v>54</v>
      </c>
      <c r="E599" t="s">
        <v>445</v>
      </c>
      <c r="F599" t="s">
        <v>433</v>
      </c>
      <c r="G599" t="s">
        <v>27</v>
      </c>
      <c r="H599" s="1" t="s">
        <v>28</v>
      </c>
      <c r="I599" t="s">
        <v>29</v>
      </c>
      <c r="J599">
        <v>1</v>
      </c>
      <c r="K599">
        <v>199333.33</v>
      </c>
      <c r="L599">
        <v>199333.33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30</v>
      </c>
      <c r="S599" t="s">
        <v>31</v>
      </c>
    </row>
    <row r="600" spans="1:19" x14ac:dyDescent="0.3">
      <c r="A600">
        <v>5611</v>
      </c>
      <c r="B600" t="s">
        <v>219</v>
      </c>
      <c r="C600" t="s">
        <v>23</v>
      </c>
      <c r="D600" t="s">
        <v>446</v>
      </c>
      <c r="E600" t="s">
        <v>447</v>
      </c>
      <c r="F600" t="s">
        <v>433</v>
      </c>
      <c r="G600" t="s">
        <v>27</v>
      </c>
      <c r="H600" s="1" t="s">
        <v>28</v>
      </c>
      <c r="I600" t="s">
        <v>29</v>
      </c>
      <c r="J600">
        <v>1</v>
      </c>
      <c r="K600">
        <v>171428.57</v>
      </c>
      <c r="L600">
        <v>171428.57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30</v>
      </c>
      <c r="S600" t="s">
        <v>31</v>
      </c>
    </row>
    <row r="601" spans="1:19" x14ac:dyDescent="0.3">
      <c r="A601">
        <v>5612</v>
      </c>
      <c r="B601" t="s">
        <v>39</v>
      </c>
      <c r="C601" t="s">
        <v>23</v>
      </c>
      <c r="D601" t="s">
        <v>212</v>
      </c>
      <c r="E601" t="s">
        <v>448</v>
      </c>
      <c r="F601" t="s">
        <v>433</v>
      </c>
      <c r="G601" t="s">
        <v>27</v>
      </c>
      <c r="H601" s="1" t="s">
        <v>28</v>
      </c>
      <c r="I601" t="s">
        <v>52</v>
      </c>
      <c r="J601">
        <v>6760</v>
      </c>
      <c r="K601">
        <v>20.95</v>
      </c>
      <c r="L601">
        <v>141638.1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30</v>
      </c>
      <c r="S601" t="s">
        <v>31</v>
      </c>
    </row>
    <row r="602" spans="1:19" x14ac:dyDescent="0.3">
      <c r="A602">
        <v>5613</v>
      </c>
      <c r="B602" t="s">
        <v>54</v>
      </c>
      <c r="C602" t="s">
        <v>23</v>
      </c>
      <c r="D602" t="s">
        <v>54</v>
      </c>
      <c r="E602" t="s">
        <v>449</v>
      </c>
      <c r="F602" t="s">
        <v>433</v>
      </c>
      <c r="G602" t="s">
        <v>27</v>
      </c>
      <c r="H602" s="1" t="s">
        <v>28</v>
      </c>
      <c r="I602" t="s">
        <v>35</v>
      </c>
      <c r="J602">
        <v>1</v>
      </c>
      <c r="K602">
        <v>118395.24</v>
      </c>
      <c r="L602">
        <v>118395.24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30</v>
      </c>
      <c r="S602" t="s">
        <v>31</v>
      </c>
    </row>
    <row r="603" spans="1:19" x14ac:dyDescent="0.3">
      <c r="A603">
        <v>5614</v>
      </c>
      <c r="B603" t="s">
        <v>54</v>
      </c>
      <c r="C603" t="s">
        <v>23</v>
      </c>
      <c r="D603" t="s">
        <v>54</v>
      </c>
      <c r="E603" t="s">
        <v>450</v>
      </c>
      <c r="F603" t="s">
        <v>433</v>
      </c>
      <c r="G603" t="s">
        <v>27</v>
      </c>
      <c r="H603" s="1" t="s">
        <v>28</v>
      </c>
      <c r="I603" t="s">
        <v>29</v>
      </c>
      <c r="J603">
        <v>1</v>
      </c>
      <c r="K603">
        <v>105942.38</v>
      </c>
      <c r="L603">
        <v>105942.38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30</v>
      </c>
      <c r="S603" t="s">
        <v>31</v>
      </c>
    </row>
    <row r="604" spans="1:19" x14ac:dyDescent="0.3">
      <c r="A604">
        <v>5615</v>
      </c>
      <c r="B604" t="s">
        <v>39</v>
      </c>
      <c r="C604" t="s">
        <v>23</v>
      </c>
      <c r="D604" t="s">
        <v>129</v>
      </c>
      <c r="E604" t="s">
        <v>451</v>
      </c>
      <c r="F604" t="s">
        <v>433</v>
      </c>
      <c r="G604" t="s">
        <v>27</v>
      </c>
      <c r="H604" s="1" t="s">
        <v>28</v>
      </c>
      <c r="I604" t="s">
        <v>29</v>
      </c>
      <c r="J604">
        <v>1</v>
      </c>
      <c r="K604">
        <v>104761.9</v>
      </c>
      <c r="L604">
        <v>104761.9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30</v>
      </c>
      <c r="S604" t="s">
        <v>31</v>
      </c>
    </row>
    <row r="605" spans="1:19" x14ac:dyDescent="0.3">
      <c r="A605">
        <v>5616</v>
      </c>
      <c r="B605" t="s">
        <v>215</v>
      </c>
      <c r="C605" t="s">
        <v>23</v>
      </c>
      <c r="D605" t="s">
        <v>217</v>
      </c>
      <c r="E605" t="s">
        <v>452</v>
      </c>
      <c r="F605" t="s">
        <v>433</v>
      </c>
      <c r="G605" t="s">
        <v>27</v>
      </c>
      <c r="H605" s="1" t="s">
        <v>28</v>
      </c>
      <c r="I605" t="s">
        <v>29</v>
      </c>
      <c r="J605">
        <v>1</v>
      </c>
      <c r="K605">
        <v>95238.1</v>
      </c>
      <c r="L605">
        <v>95238.1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30</v>
      </c>
      <c r="S605" t="s">
        <v>31</v>
      </c>
    </row>
    <row r="606" spans="1:19" x14ac:dyDescent="0.3">
      <c r="A606">
        <v>5617</v>
      </c>
      <c r="B606" t="s">
        <v>54</v>
      </c>
      <c r="C606" t="s">
        <v>23</v>
      </c>
      <c r="D606" t="s">
        <v>54</v>
      </c>
      <c r="E606" t="s">
        <v>453</v>
      </c>
      <c r="F606" t="s">
        <v>433</v>
      </c>
      <c r="G606" t="s">
        <v>27</v>
      </c>
      <c r="H606" s="1" t="s">
        <v>28</v>
      </c>
      <c r="I606" t="s">
        <v>35</v>
      </c>
      <c r="J606">
        <v>1</v>
      </c>
      <c r="K606">
        <v>93303.33</v>
      </c>
      <c r="L606">
        <v>93303.33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30</v>
      </c>
      <c r="S606" t="s">
        <v>31</v>
      </c>
    </row>
    <row r="607" spans="1:19" x14ac:dyDescent="0.3">
      <c r="A607">
        <v>5618</v>
      </c>
      <c r="B607" t="s">
        <v>39</v>
      </c>
      <c r="C607" t="s">
        <v>23</v>
      </c>
      <c r="D607" t="s">
        <v>98</v>
      </c>
      <c r="E607" t="s">
        <v>454</v>
      </c>
      <c r="F607" t="s">
        <v>433</v>
      </c>
      <c r="G607" t="s">
        <v>27</v>
      </c>
      <c r="H607" s="1" t="s">
        <v>28</v>
      </c>
      <c r="I607" t="s">
        <v>29</v>
      </c>
      <c r="J607">
        <v>1</v>
      </c>
      <c r="K607">
        <v>92618.59</v>
      </c>
      <c r="L607">
        <v>92618.59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30</v>
      </c>
      <c r="S607" t="s">
        <v>31</v>
      </c>
    </row>
    <row r="608" spans="1:19" x14ac:dyDescent="0.3">
      <c r="A608">
        <v>5619</v>
      </c>
      <c r="B608" t="s">
        <v>219</v>
      </c>
      <c r="C608" t="s">
        <v>23</v>
      </c>
      <c r="D608" t="s">
        <v>446</v>
      </c>
      <c r="E608" t="s">
        <v>455</v>
      </c>
      <c r="F608" t="s">
        <v>433</v>
      </c>
      <c r="G608" t="s">
        <v>27</v>
      </c>
      <c r="H608" s="1" t="s">
        <v>28</v>
      </c>
      <c r="I608" t="s">
        <v>29</v>
      </c>
      <c r="J608">
        <v>1</v>
      </c>
      <c r="K608">
        <v>90476.19</v>
      </c>
      <c r="L608">
        <v>90476.19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30</v>
      </c>
      <c r="S608" t="s">
        <v>31</v>
      </c>
    </row>
    <row r="609" spans="1:19" x14ac:dyDescent="0.3">
      <c r="A609">
        <v>5620</v>
      </c>
      <c r="B609" t="s">
        <v>32</v>
      </c>
      <c r="C609" t="s">
        <v>23</v>
      </c>
      <c r="D609" t="s">
        <v>215</v>
      </c>
      <c r="E609" t="s">
        <v>456</v>
      </c>
      <c r="F609" t="s">
        <v>433</v>
      </c>
      <c r="G609" t="s">
        <v>27</v>
      </c>
      <c r="H609" s="1" t="s">
        <v>28</v>
      </c>
      <c r="I609" t="s">
        <v>29</v>
      </c>
      <c r="J609">
        <v>1</v>
      </c>
      <c r="K609">
        <v>90000</v>
      </c>
      <c r="L609">
        <v>90000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</v>
      </c>
      <c r="S609" t="s">
        <v>31</v>
      </c>
    </row>
    <row r="610" spans="1:19" x14ac:dyDescent="0.3">
      <c r="A610">
        <v>5621</v>
      </c>
      <c r="B610" t="s">
        <v>54</v>
      </c>
      <c r="C610" t="s">
        <v>23</v>
      </c>
      <c r="D610" t="s">
        <v>54</v>
      </c>
      <c r="E610" t="s">
        <v>457</v>
      </c>
      <c r="F610" t="s">
        <v>433</v>
      </c>
      <c r="G610" t="s">
        <v>27</v>
      </c>
      <c r="H610" s="1" t="s">
        <v>28</v>
      </c>
      <c r="I610" t="s">
        <v>35</v>
      </c>
      <c r="J610">
        <v>1</v>
      </c>
      <c r="K610">
        <v>86052.86</v>
      </c>
      <c r="L610">
        <v>86052.86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30</v>
      </c>
      <c r="S610" t="s">
        <v>31</v>
      </c>
    </row>
    <row r="611" spans="1:19" x14ac:dyDescent="0.3">
      <c r="A611">
        <v>5622</v>
      </c>
      <c r="B611" t="s">
        <v>219</v>
      </c>
      <c r="C611" t="s">
        <v>23</v>
      </c>
      <c r="D611" t="s">
        <v>446</v>
      </c>
      <c r="E611" t="s">
        <v>458</v>
      </c>
      <c r="F611" t="s">
        <v>433</v>
      </c>
      <c r="G611" t="s">
        <v>27</v>
      </c>
      <c r="H611" s="1" t="s">
        <v>28</v>
      </c>
      <c r="I611" t="s">
        <v>29</v>
      </c>
      <c r="J611">
        <v>1</v>
      </c>
      <c r="K611">
        <v>84285.71</v>
      </c>
      <c r="L611">
        <v>84285.71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30</v>
      </c>
      <c r="S611" t="s">
        <v>31</v>
      </c>
    </row>
    <row r="612" spans="1:19" x14ac:dyDescent="0.3">
      <c r="A612">
        <v>5623</v>
      </c>
      <c r="B612" t="s">
        <v>215</v>
      </c>
      <c r="C612" t="s">
        <v>23</v>
      </c>
      <c r="D612" t="s">
        <v>436</v>
      </c>
      <c r="E612" t="s">
        <v>459</v>
      </c>
      <c r="F612" t="s">
        <v>433</v>
      </c>
      <c r="G612" t="s">
        <v>27</v>
      </c>
      <c r="H612" s="1" t="s">
        <v>28</v>
      </c>
      <c r="I612" t="s">
        <v>29</v>
      </c>
      <c r="J612">
        <v>1</v>
      </c>
      <c r="K612">
        <v>80000</v>
      </c>
      <c r="L612">
        <v>80000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30</v>
      </c>
      <c r="S612" t="s">
        <v>31</v>
      </c>
    </row>
    <row r="613" spans="1:19" x14ac:dyDescent="0.3">
      <c r="A613">
        <v>5624</v>
      </c>
      <c r="B613" t="s">
        <v>39</v>
      </c>
      <c r="C613" t="s">
        <v>23</v>
      </c>
      <c r="D613" t="s">
        <v>212</v>
      </c>
      <c r="E613" t="s">
        <v>460</v>
      </c>
      <c r="F613" t="s">
        <v>433</v>
      </c>
      <c r="G613" t="s">
        <v>27</v>
      </c>
      <c r="H613" s="1" t="s">
        <v>28</v>
      </c>
      <c r="I613" t="s">
        <v>74</v>
      </c>
      <c r="J613">
        <v>3840</v>
      </c>
      <c r="K613">
        <v>20.62</v>
      </c>
      <c r="L613">
        <v>79177.14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30</v>
      </c>
      <c r="S613" t="s">
        <v>31</v>
      </c>
    </row>
    <row r="614" spans="1:19" x14ac:dyDescent="0.3">
      <c r="A614">
        <v>5625</v>
      </c>
      <c r="B614" t="s">
        <v>219</v>
      </c>
      <c r="C614" t="s">
        <v>23</v>
      </c>
      <c r="D614" t="s">
        <v>446</v>
      </c>
      <c r="E614" t="s">
        <v>461</v>
      </c>
      <c r="F614" t="s">
        <v>433</v>
      </c>
      <c r="G614" t="s">
        <v>27</v>
      </c>
      <c r="H614" s="1" t="s">
        <v>28</v>
      </c>
      <c r="I614" t="s">
        <v>29</v>
      </c>
      <c r="J614">
        <v>1</v>
      </c>
      <c r="K614">
        <v>76571.429999999993</v>
      </c>
      <c r="L614">
        <v>76571.429999999993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30</v>
      </c>
      <c r="S614" t="s">
        <v>31</v>
      </c>
    </row>
    <row r="615" spans="1:19" x14ac:dyDescent="0.3">
      <c r="A615">
        <v>5626</v>
      </c>
      <c r="B615" t="s">
        <v>39</v>
      </c>
      <c r="C615" t="s">
        <v>23</v>
      </c>
      <c r="D615" t="s">
        <v>129</v>
      </c>
      <c r="E615" t="s">
        <v>462</v>
      </c>
      <c r="F615" t="s">
        <v>433</v>
      </c>
      <c r="G615" t="s">
        <v>27</v>
      </c>
      <c r="H615" s="1" t="s">
        <v>28</v>
      </c>
      <c r="I615" t="s">
        <v>121</v>
      </c>
      <c r="J615">
        <v>177.91</v>
      </c>
      <c r="K615">
        <v>416.9</v>
      </c>
      <c r="L615">
        <v>74169.64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30</v>
      </c>
      <c r="S615" t="s">
        <v>31</v>
      </c>
    </row>
    <row r="616" spans="1:19" x14ac:dyDescent="0.3">
      <c r="A616">
        <v>5627</v>
      </c>
      <c r="B616" t="s">
        <v>219</v>
      </c>
      <c r="C616" t="s">
        <v>23</v>
      </c>
      <c r="D616" t="s">
        <v>446</v>
      </c>
      <c r="E616" t="s">
        <v>463</v>
      </c>
      <c r="F616" t="s">
        <v>433</v>
      </c>
      <c r="G616" t="s">
        <v>27</v>
      </c>
      <c r="H616" s="1" t="s">
        <v>28</v>
      </c>
      <c r="I616" t="s">
        <v>29</v>
      </c>
      <c r="J616">
        <v>1</v>
      </c>
      <c r="K616">
        <v>72190.48</v>
      </c>
      <c r="L616">
        <v>72190.48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30</v>
      </c>
      <c r="S616" t="s">
        <v>31</v>
      </c>
    </row>
    <row r="617" spans="1:19" x14ac:dyDescent="0.3">
      <c r="A617">
        <v>5628</v>
      </c>
      <c r="B617" t="s">
        <v>22</v>
      </c>
      <c r="C617" t="s">
        <v>23</v>
      </c>
      <c r="D617" t="s">
        <v>43</v>
      </c>
      <c r="E617" t="s">
        <v>464</v>
      </c>
      <c r="F617" t="s">
        <v>433</v>
      </c>
      <c r="G617" t="s">
        <v>27</v>
      </c>
      <c r="H617" s="1" t="s">
        <v>28</v>
      </c>
      <c r="I617" t="s">
        <v>35</v>
      </c>
      <c r="J617">
        <v>1</v>
      </c>
      <c r="K617">
        <v>60000</v>
      </c>
      <c r="L617">
        <v>60000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30</v>
      </c>
      <c r="S617" t="s">
        <v>31</v>
      </c>
    </row>
    <row r="618" spans="1:19" x14ac:dyDescent="0.3">
      <c r="A618">
        <v>5629</v>
      </c>
      <c r="B618" t="s">
        <v>39</v>
      </c>
      <c r="C618" t="s">
        <v>23</v>
      </c>
      <c r="D618" t="s">
        <v>212</v>
      </c>
      <c r="E618" t="s">
        <v>465</v>
      </c>
      <c r="F618" t="s">
        <v>433</v>
      </c>
      <c r="G618" t="s">
        <v>27</v>
      </c>
      <c r="H618" s="1" t="s">
        <v>28</v>
      </c>
      <c r="I618" t="s">
        <v>121</v>
      </c>
      <c r="J618">
        <v>338</v>
      </c>
      <c r="K618">
        <v>161.9</v>
      </c>
      <c r="L618">
        <v>54723.81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30</v>
      </c>
      <c r="S618" t="s">
        <v>31</v>
      </c>
    </row>
    <row r="619" spans="1:19" x14ac:dyDescent="0.3">
      <c r="A619">
        <v>5630</v>
      </c>
      <c r="B619" t="s">
        <v>42</v>
      </c>
      <c r="C619" t="s">
        <v>23</v>
      </c>
      <c r="D619" t="s">
        <v>466</v>
      </c>
      <c r="E619" t="s">
        <v>467</v>
      </c>
      <c r="F619" t="s">
        <v>433</v>
      </c>
      <c r="G619" t="s">
        <v>27</v>
      </c>
      <c r="H619" s="1" t="s">
        <v>28</v>
      </c>
      <c r="I619" t="s">
        <v>29</v>
      </c>
      <c r="J619">
        <v>1</v>
      </c>
      <c r="K619">
        <v>54491.43</v>
      </c>
      <c r="L619">
        <v>54491.43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</v>
      </c>
      <c r="S619" t="s">
        <v>31</v>
      </c>
    </row>
    <row r="620" spans="1:19" x14ac:dyDescent="0.3">
      <c r="A620">
        <v>5631</v>
      </c>
      <c r="B620" t="s">
        <v>39</v>
      </c>
      <c r="C620" t="s">
        <v>23</v>
      </c>
      <c r="D620" t="s">
        <v>212</v>
      </c>
      <c r="E620" t="s">
        <v>468</v>
      </c>
      <c r="F620" t="s">
        <v>433</v>
      </c>
      <c r="G620" t="s">
        <v>27</v>
      </c>
      <c r="H620" s="1" t="s">
        <v>28</v>
      </c>
      <c r="I620" t="s">
        <v>29</v>
      </c>
      <c r="J620">
        <v>1</v>
      </c>
      <c r="K620">
        <v>48527.62</v>
      </c>
      <c r="L620">
        <v>48527.62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30</v>
      </c>
      <c r="S620" t="s">
        <v>31</v>
      </c>
    </row>
    <row r="621" spans="1:19" x14ac:dyDescent="0.3">
      <c r="A621">
        <v>5632</v>
      </c>
      <c r="B621" t="s">
        <v>39</v>
      </c>
      <c r="C621" t="s">
        <v>23</v>
      </c>
      <c r="D621" t="s">
        <v>212</v>
      </c>
      <c r="E621" t="s">
        <v>345</v>
      </c>
      <c r="F621" t="s">
        <v>433</v>
      </c>
      <c r="G621" t="s">
        <v>27</v>
      </c>
      <c r="H621" s="1" t="s">
        <v>28</v>
      </c>
      <c r="I621" t="s">
        <v>52</v>
      </c>
      <c r="J621">
        <v>3380</v>
      </c>
      <c r="K621">
        <v>14.27</v>
      </c>
      <c r="L621">
        <v>48221.33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30</v>
      </c>
      <c r="S621" t="s">
        <v>31</v>
      </c>
    </row>
    <row r="622" spans="1:19" x14ac:dyDescent="0.3">
      <c r="A622">
        <v>5633</v>
      </c>
      <c r="B622" t="s">
        <v>219</v>
      </c>
      <c r="C622" t="s">
        <v>23</v>
      </c>
      <c r="D622" t="s">
        <v>446</v>
      </c>
      <c r="E622" t="s">
        <v>469</v>
      </c>
      <c r="F622" t="s">
        <v>433</v>
      </c>
      <c r="G622" t="s">
        <v>27</v>
      </c>
      <c r="H622" s="1" t="s">
        <v>28</v>
      </c>
      <c r="I622" t="s">
        <v>29</v>
      </c>
      <c r="J622">
        <v>1</v>
      </c>
      <c r="K622">
        <v>48095.24</v>
      </c>
      <c r="L622">
        <v>48095.24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30</v>
      </c>
      <c r="S622" t="s">
        <v>31</v>
      </c>
    </row>
    <row r="623" spans="1:19" x14ac:dyDescent="0.3">
      <c r="A623">
        <v>5634</v>
      </c>
      <c r="B623" t="s">
        <v>39</v>
      </c>
      <c r="C623" t="s">
        <v>23</v>
      </c>
      <c r="D623" t="s">
        <v>98</v>
      </c>
      <c r="E623" t="s">
        <v>470</v>
      </c>
      <c r="F623" t="s">
        <v>433</v>
      </c>
      <c r="G623" t="s">
        <v>27</v>
      </c>
      <c r="H623" s="1" t="s">
        <v>28</v>
      </c>
      <c r="I623" t="s">
        <v>29</v>
      </c>
      <c r="J623">
        <v>1</v>
      </c>
      <c r="K623">
        <v>45956.3</v>
      </c>
      <c r="L623">
        <v>45956.3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30</v>
      </c>
      <c r="S623" t="s">
        <v>31</v>
      </c>
    </row>
    <row r="624" spans="1:19" x14ac:dyDescent="0.3">
      <c r="A624">
        <v>5635</v>
      </c>
      <c r="B624" t="s">
        <v>220</v>
      </c>
      <c r="C624" t="s">
        <v>23</v>
      </c>
      <c r="D624" t="s">
        <v>349</v>
      </c>
      <c r="E624" t="s">
        <v>221</v>
      </c>
      <c r="F624" t="s">
        <v>433</v>
      </c>
      <c r="G624" t="s">
        <v>27</v>
      </c>
      <c r="H624" s="1" t="s">
        <v>28</v>
      </c>
      <c r="I624" t="s">
        <v>35</v>
      </c>
      <c r="J624">
        <v>1</v>
      </c>
      <c r="K624">
        <v>43991.43</v>
      </c>
      <c r="L624">
        <v>43991.43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30</v>
      </c>
      <c r="S624" t="s">
        <v>31</v>
      </c>
    </row>
    <row r="625" spans="1:19" x14ac:dyDescent="0.3">
      <c r="A625">
        <v>5636</v>
      </c>
      <c r="B625" t="s">
        <v>39</v>
      </c>
      <c r="C625" t="s">
        <v>23</v>
      </c>
      <c r="D625" t="s">
        <v>212</v>
      </c>
      <c r="E625" t="s">
        <v>471</v>
      </c>
      <c r="F625" t="s">
        <v>433</v>
      </c>
      <c r="G625" t="s">
        <v>27</v>
      </c>
      <c r="H625" s="1" t="s">
        <v>28</v>
      </c>
      <c r="I625" t="s">
        <v>121</v>
      </c>
      <c r="J625">
        <v>157</v>
      </c>
      <c r="K625">
        <v>278.10000000000002</v>
      </c>
      <c r="L625">
        <v>43660.95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30</v>
      </c>
      <c r="S625" t="s">
        <v>31</v>
      </c>
    </row>
    <row r="626" spans="1:19" x14ac:dyDescent="0.3">
      <c r="A626">
        <v>5637</v>
      </c>
      <c r="B626" t="s">
        <v>22</v>
      </c>
      <c r="C626" t="s">
        <v>23</v>
      </c>
      <c r="D626" t="s">
        <v>472</v>
      </c>
      <c r="E626" t="s">
        <v>473</v>
      </c>
      <c r="F626" t="s">
        <v>433</v>
      </c>
      <c r="G626" t="s">
        <v>27</v>
      </c>
      <c r="H626" s="1" t="s">
        <v>28</v>
      </c>
      <c r="I626" t="s">
        <v>74</v>
      </c>
      <c r="J626">
        <v>170</v>
      </c>
      <c r="K626">
        <v>250</v>
      </c>
      <c r="L626">
        <v>42500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30</v>
      </c>
      <c r="S626" t="s">
        <v>31</v>
      </c>
    </row>
    <row r="627" spans="1:19" x14ac:dyDescent="0.3">
      <c r="A627">
        <v>5638</v>
      </c>
      <c r="B627" t="s">
        <v>219</v>
      </c>
      <c r="C627" t="s">
        <v>23</v>
      </c>
      <c r="D627" t="s">
        <v>446</v>
      </c>
      <c r="E627" t="s">
        <v>474</v>
      </c>
      <c r="F627" t="s">
        <v>433</v>
      </c>
      <c r="G627" t="s">
        <v>27</v>
      </c>
      <c r="H627" s="1" t="s">
        <v>28</v>
      </c>
      <c r="I627" t="s">
        <v>29</v>
      </c>
      <c r="J627">
        <v>1</v>
      </c>
      <c r="K627">
        <v>40380.949999999997</v>
      </c>
      <c r="L627">
        <v>40380.949999999997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30</v>
      </c>
      <c r="S627" t="s">
        <v>31</v>
      </c>
    </row>
    <row r="628" spans="1:19" x14ac:dyDescent="0.3">
      <c r="A628">
        <v>5639</v>
      </c>
      <c r="B628" t="s">
        <v>54</v>
      </c>
      <c r="C628" t="s">
        <v>23</v>
      </c>
      <c r="D628" t="s">
        <v>54</v>
      </c>
      <c r="E628" t="s">
        <v>475</v>
      </c>
      <c r="F628" t="s">
        <v>433</v>
      </c>
      <c r="G628" t="s">
        <v>27</v>
      </c>
      <c r="H628" s="1" t="s">
        <v>28</v>
      </c>
      <c r="I628" t="s">
        <v>29</v>
      </c>
      <c r="J628">
        <v>1</v>
      </c>
      <c r="K628">
        <v>39319.050000000003</v>
      </c>
      <c r="L628">
        <v>39319.050000000003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30</v>
      </c>
      <c r="S628" t="s">
        <v>31</v>
      </c>
    </row>
    <row r="629" spans="1:19" x14ac:dyDescent="0.3">
      <c r="A629">
        <v>5640</v>
      </c>
      <c r="B629" t="s">
        <v>39</v>
      </c>
      <c r="C629" t="s">
        <v>23</v>
      </c>
      <c r="D629" t="s">
        <v>212</v>
      </c>
      <c r="E629" t="s">
        <v>476</v>
      </c>
      <c r="F629" t="s">
        <v>433</v>
      </c>
      <c r="G629" t="s">
        <v>27</v>
      </c>
      <c r="H629" s="1" t="s">
        <v>28</v>
      </c>
      <c r="I629" t="s">
        <v>121</v>
      </c>
      <c r="J629">
        <v>2028</v>
      </c>
      <c r="K629">
        <v>17.14</v>
      </c>
      <c r="L629">
        <v>34765.71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30</v>
      </c>
      <c r="S629" t="s">
        <v>31</v>
      </c>
    </row>
    <row r="630" spans="1:19" x14ac:dyDescent="0.3">
      <c r="A630">
        <v>5641</v>
      </c>
      <c r="B630" t="s">
        <v>22</v>
      </c>
      <c r="C630" t="s">
        <v>23</v>
      </c>
      <c r="D630" t="s">
        <v>477</v>
      </c>
      <c r="E630" t="s">
        <v>478</v>
      </c>
      <c r="F630" t="s">
        <v>433</v>
      </c>
      <c r="G630" t="s">
        <v>27</v>
      </c>
      <c r="H630" s="1" t="s">
        <v>28</v>
      </c>
      <c r="I630" t="s">
        <v>35</v>
      </c>
      <c r="J630">
        <v>1</v>
      </c>
      <c r="K630">
        <v>31037.25</v>
      </c>
      <c r="L630">
        <v>31037.25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30</v>
      </c>
      <c r="S630" t="s">
        <v>31</v>
      </c>
    </row>
    <row r="631" spans="1:19" x14ac:dyDescent="0.3">
      <c r="A631">
        <v>5642</v>
      </c>
      <c r="B631" t="s">
        <v>219</v>
      </c>
      <c r="C631" t="s">
        <v>23</v>
      </c>
      <c r="D631" t="s">
        <v>215</v>
      </c>
      <c r="E631" t="s">
        <v>479</v>
      </c>
      <c r="F631" t="s">
        <v>433</v>
      </c>
      <c r="G631" t="s">
        <v>27</v>
      </c>
      <c r="H631" s="1" t="s">
        <v>28</v>
      </c>
      <c r="I631" t="s">
        <v>35</v>
      </c>
      <c r="J631">
        <v>2</v>
      </c>
      <c r="K631">
        <v>15000</v>
      </c>
      <c r="L631">
        <v>30000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30</v>
      </c>
      <c r="S631" t="s">
        <v>31</v>
      </c>
    </row>
    <row r="632" spans="1:19" x14ac:dyDescent="0.3">
      <c r="A632">
        <v>5643</v>
      </c>
      <c r="B632" t="s">
        <v>32</v>
      </c>
      <c r="C632" t="s">
        <v>23</v>
      </c>
      <c r="D632" t="s">
        <v>215</v>
      </c>
      <c r="E632" t="s">
        <v>480</v>
      </c>
      <c r="F632" t="s">
        <v>433</v>
      </c>
      <c r="G632" t="s">
        <v>27</v>
      </c>
      <c r="H632" s="1" t="s">
        <v>28</v>
      </c>
      <c r="I632" t="s">
        <v>74</v>
      </c>
      <c r="J632">
        <v>350</v>
      </c>
      <c r="K632">
        <v>85</v>
      </c>
      <c r="L632">
        <v>29750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30</v>
      </c>
      <c r="S632" t="s">
        <v>31</v>
      </c>
    </row>
    <row r="633" spans="1:19" x14ac:dyDescent="0.3">
      <c r="A633">
        <v>5644</v>
      </c>
      <c r="B633" t="s">
        <v>39</v>
      </c>
      <c r="C633" t="s">
        <v>23</v>
      </c>
      <c r="D633" t="s">
        <v>212</v>
      </c>
      <c r="E633" t="s">
        <v>481</v>
      </c>
      <c r="F633" t="s">
        <v>433</v>
      </c>
      <c r="G633" t="s">
        <v>27</v>
      </c>
      <c r="H633" s="1" t="s">
        <v>28</v>
      </c>
      <c r="I633" t="s">
        <v>52</v>
      </c>
      <c r="J633">
        <v>72.63</v>
      </c>
      <c r="K633">
        <v>395.48</v>
      </c>
      <c r="L633">
        <v>28723.439999999999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30</v>
      </c>
      <c r="S633" t="s">
        <v>31</v>
      </c>
    </row>
    <row r="634" spans="1:19" x14ac:dyDescent="0.3">
      <c r="A634">
        <v>5645</v>
      </c>
      <c r="B634" t="s">
        <v>39</v>
      </c>
      <c r="C634" t="s">
        <v>23</v>
      </c>
      <c r="D634" t="s">
        <v>129</v>
      </c>
      <c r="E634" t="s">
        <v>482</v>
      </c>
      <c r="F634" t="s">
        <v>433</v>
      </c>
      <c r="G634" t="s">
        <v>27</v>
      </c>
      <c r="H634" s="1" t="s">
        <v>28</v>
      </c>
      <c r="I634" t="s">
        <v>112</v>
      </c>
      <c r="J634">
        <v>12001.09</v>
      </c>
      <c r="K634">
        <v>2.29</v>
      </c>
      <c r="L634">
        <v>27431.06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30</v>
      </c>
      <c r="S634" t="s">
        <v>31</v>
      </c>
    </row>
    <row r="635" spans="1:19" x14ac:dyDescent="0.3">
      <c r="A635">
        <v>5646</v>
      </c>
      <c r="B635" t="s">
        <v>54</v>
      </c>
      <c r="C635" t="s">
        <v>23</v>
      </c>
      <c r="D635" t="s">
        <v>54</v>
      </c>
      <c r="E635" t="s">
        <v>483</v>
      </c>
      <c r="F635" t="s">
        <v>433</v>
      </c>
      <c r="G635" t="s">
        <v>27</v>
      </c>
      <c r="H635" s="1" t="s">
        <v>28</v>
      </c>
      <c r="I635" t="s">
        <v>35</v>
      </c>
      <c r="J635">
        <v>2</v>
      </c>
      <c r="K635">
        <v>13153.81</v>
      </c>
      <c r="L635">
        <v>26307.62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30</v>
      </c>
      <c r="S635" t="s">
        <v>31</v>
      </c>
    </row>
    <row r="636" spans="1:19" x14ac:dyDescent="0.3">
      <c r="A636">
        <v>5647</v>
      </c>
      <c r="B636" t="s">
        <v>219</v>
      </c>
      <c r="C636" t="s">
        <v>23</v>
      </c>
      <c r="D636" t="s">
        <v>446</v>
      </c>
      <c r="E636" t="s">
        <v>484</v>
      </c>
      <c r="F636" t="s">
        <v>433</v>
      </c>
      <c r="G636" t="s">
        <v>27</v>
      </c>
      <c r="H636" s="1" t="s">
        <v>28</v>
      </c>
      <c r="I636" t="s">
        <v>29</v>
      </c>
      <c r="J636">
        <v>1</v>
      </c>
      <c r="K636">
        <v>24190.48</v>
      </c>
      <c r="L636">
        <v>24190.48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30</v>
      </c>
      <c r="S636" t="s">
        <v>31</v>
      </c>
    </row>
    <row r="637" spans="1:19" x14ac:dyDescent="0.3">
      <c r="A637">
        <v>5648</v>
      </c>
      <c r="B637" t="s">
        <v>42</v>
      </c>
      <c r="C637" t="s">
        <v>23</v>
      </c>
      <c r="D637" t="s">
        <v>43</v>
      </c>
      <c r="E637" t="s">
        <v>485</v>
      </c>
      <c r="F637" t="s">
        <v>433</v>
      </c>
      <c r="G637" t="s">
        <v>27</v>
      </c>
      <c r="H637" s="1" t="s">
        <v>28</v>
      </c>
      <c r="I637" t="s">
        <v>29</v>
      </c>
      <c r="J637">
        <v>1</v>
      </c>
      <c r="K637">
        <v>17142.86</v>
      </c>
      <c r="L637">
        <v>17142.86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30</v>
      </c>
      <c r="S637" t="s">
        <v>31</v>
      </c>
    </row>
    <row r="638" spans="1:19" x14ac:dyDescent="0.3">
      <c r="A638">
        <v>5649</v>
      </c>
      <c r="B638" t="s">
        <v>39</v>
      </c>
      <c r="C638" t="s">
        <v>23</v>
      </c>
      <c r="D638" t="s">
        <v>129</v>
      </c>
      <c r="E638" t="s">
        <v>486</v>
      </c>
      <c r="F638" t="s">
        <v>433</v>
      </c>
      <c r="G638" t="s">
        <v>27</v>
      </c>
      <c r="H638" s="1" t="s">
        <v>28</v>
      </c>
      <c r="I638" t="s">
        <v>121</v>
      </c>
      <c r="J638">
        <v>58.23</v>
      </c>
      <c r="K638">
        <v>278.10000000000002</v>
      </c>
      <c r="L638">
        <v>16193.93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30</v>
      </c>
      <c r="S638" t="s">
        <v>31</v>
      </c>
    </row>
    <row r="639" spans="1:19" x14ac:dyDescent="0.3">
      <c r="A639">
        <v>5650</v>
      </c>
      <c r="B639" t="s">
        <v>39</v>
      </c>
      <c r="C639" t="s">
        <v>23</v>
      </c>
      <c r="D639" t="s">
        <v>212</v>
      </c>
      <c r="E639" t="s">
        <v>476</v>
      </c>
      <c r="F639" t="s">
        <v>433</v>
      </c>
      <c r="G639" t="s">
        <v>27</v>
      </c>
      <c r="H639" s="1" t="s">
        <v>28</v>
      </c>
      <c r="I639" t="s">
        <v>121</v>
      </c>
      <c r="J639">
        <v>712.4</v>
      </c>
      <c r="K639">
        <v>21.01</v>
      </c>
      <c r="L639">
        <v>14967.18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30</v>
      </c>
      <c r="S639" t="s">
        <v>31</v>
      </c>
    </row>
    <row r="640" spans="1:19" x14ac:dyDescent="0.3">
      <c r="A640">
        <v>5651</v>
      </c>
      <c r="B640" t="s">
        <v>42</v>
      </c>
      <c r="C640" t="s">
        <v>23</v>
      </c>
      <c r="D640" t="s">
        <v>43</v>
      </c>
      <c r="E640" t="s">
        <v>461</v>
      </c>
      <c r="F640" t="s">
        <v>433</v>
      </c>
      <c r="G640" t="s">
        <v>27</v>
      </c>
      <c r="H640" s="1" t="s">
        <v>28</v>
      </c>
      <c r="I640" t="s">
        <v>29</v>
      </c>
      <c r="J640">
        <v>1</v>
      </c>
      <c r="K640">
        <v>14714.29</v>
      </c>
      <c r="L640">
        <v>14714.29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30</v>
      </c>
      <c r="S640" t="s">
        <v>31</v>
      </c>
    </row>
    <row r="641" spans="1:19" x14ac:dyDescent="0.3">
      <c r="A641">
        <v>5652</v>
      </c>
      <c r="B641" t="s">
        <v>39</v>
      </c>
      <c r="C641" t="s">
        <v>23</v>
      </c>
      <c r="D641" t="s">
        <v>129</v>
      </c>
      <c r="E641" t="s">
        <v>487</v>
      </c>
      <c r="F641" t="s">
        <v>433</v>
      </c>
      <c r="G641" t="s">
        <v>27</v>
      </c>
      <c r="H641" s="1" t="s">
        <v>28</v>
      </c>
      <c r="I641" t="s">
        <v>35</v>
      </c>
      <c r="J641">
        <v>3</v>
      </c>
      <c r="K641">
        <v>7500</v>
      </c>
      <c r="L641">
        <v>22500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30</v>
      </c>
      <c r="S641" t="s">
        <v>31</v>
      </c>
    </row>
    <row r="642" spans="1:19" x14ac:dyDescent="0.3">
      <c r="A642">
        <v>5653</v>
      </c>
      <c r="B642" t="s">
        <v>39</v>
      </c>
      <c r="C642" t="s">
        <v>23</v>
      </c>
      <c r="D642" t="s">
        <v>212</v>
      </c>
      <c r="E642" t="s">
        <v>488</v>
      </c>
      <c r="F642" t="s">
        <v>433</v>
      </c>
      <c r="G642" t="s">
        <v>27</v>
      </c>
      <c r="H642" s="1" t="s">
        <v>28</v>
      </c>
      <c r="I642" t="s">
        <v>121</v>
      </c>
      <c r="J642">
        <v>1228.8</v>
      </c>
      <c r="K642">
        <v>11.46</v>
      </c>
      <c r="L642">
        <v>14078.54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30</v>
      </c>
      <c r="S642" t="s">
        <v>31</v>
      </c>
    </row>
    <row r="643" spans="1:19" x14ac:dyDescent="0.3">
      <c r="A643">
        <v>5654</v>
      </c>
      <c r="B643" t="s">
        <v>39</v>
      </c>
      <c r="C643" t="s">
        <v>23</v>
      </c>
      <c r="D643" t="s">
        <v>212</v>
      </c>
      <c r="E643" t="s">
        <v>489</v>
      </c>
      <c r="F643" t="s">
        <v>433</v>
      </c>
      <c r="G643" t="s">
        <v>27</v>
      </c>
      <c r="H643" s="1" t="s">
        <v>28</v>
      </c>
      <c r="I643" t="s">
        <v>121</v>
      </c>
      <c r="J643">
        <v>39</v>
      </c>
      <c r="K643">
        <v>278.10000000000002</v>
      </c>
      <c r="L643">
        <v>10845.71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30</v>
      </c>
      <c r="S643" t="s">
        <v>31</v>
      </c>
    </row>
    <row r="644" spans="1:19" x14ac:dyDescent="0.3">
      <c r="A644">
        <v>5655</v>
      </c>
      <c r="B644" t="s">
        <v>42</v>
      </c>
      <c r="C644" t="s">
        <v>23</v>
      </c>
      <c r="D644" t="s">
        <v>466</v>
      </c>
      <c r="E644" t="s">
        <v>490</v>
      </c>
      <c r="F644" t="s">
        <v>433</v>
      </c>
      <c r="G644" t="s">
        <v>27</v>
      </c>
      <c r="H644" s="1" t="s">
        <v>28</v>
      </c>
      <c r="I644" t="s">
        <v>29</v>
      </c>
      <c r="J644">
        <v>1</v>
      </c>
      <c r="K644">
        <v>10000</v>
      </c>
      <c r="L644">
        <v>10000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30</v>
      </c>
      <c r="S644" t="s">
        <v>31</v>
      </c>
    </row>
    <row r="645" spans="1:19" x14ac:dyDescent="0.3">
      <c r="A645">
        <v>5656</v>
      </c>
      <c r="B645" t="s">
        <v>39</v>
      </c>
      <c r="C645" t="s">
        <v>23</v>
      </c>
      <c r="D645" t="s">
        <v>212</v>
      </c>
      <c r="E645" t="s">
        <v>345</v>
      </c>
      <c r="F645" t="s">
        <v>433</v>
      </c>
      <c r="G645" t="s">
        <v>27</v>
      </c>
      <c r="H645" s="1" t="s">
        <v>28</v>
      </c>
      <c r="I645" t="s">
        <v>52</v>
      </c>
      <c r="J645">
        <v>628</v>
      </c>
      <c r="K645">
        <v>14.27</v>
      </c>
      <c r="L645">
        <v>8959.4699999999993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30</v>
      </c>
      <c r="S645" t="s">
        <v>31</v>
      </c>
    </row>
    <row r="646" spans="1:19" x14ac:dyDescent="0.3">
      <c r="A646">
        <v>5657</v>
      </c>
      <c r="B646" t="s">
        <v>39</v>
      </c>
      <c r="C646" t="s">
        <v>23</v>
      </c>
      <c r="D646" t="s">
        <v>129</v>
      </c>
      <c r="E646" t="s">
        <v>491</v>
      </c>
      <c r="F646" t="s">
        <v>433</v>
      </c>
      <c r="G646" t="s">
        <v>27</v>
      </c>
      <c r="H646" s="1" t="s">
        <v>28</v>
      </c>
      <c r="I646" t="s">
        <v>35</v>
      </c>
      <c r="J646">
        <v>2</v>
      </c>
      <c r="K646">
        <v>15000</v>
      </c>
      <c r="L646">
        <v>30000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30</v>
      </c>
      <c r="S646" t="s">
        <v>31</v>
      </c>
    </row>
    <row r="647" spans="1:19" x14ac:dyDescent="0.3">
      <c r="A647">
        <v>5658</v>
      </c>
      <c r="B647" t="s">
        <v>39</v>
      </c>
      <c r="C647" t="s">
        <v>23</v>
      </c>
      <c r="D647" t="s">
        <v>492</v>
      </c>
      <c r="E647" t="s">
        <v>493</v>
      </c>
      <c r="F647" t="s">
        <v>433</v>
      </c>
      <c r="G647" t="s">
        <v>27</v>
      </c>
      <c r="H647" s="1" t="s">
        <v>28</v>
      </c>
      <c r="I647" t="s">
        <v>29</v>
      </c>
      <c r="J647">
        <v>1</v>
      </c>
      <c r="K647">
        <v>8000</v>
      </c>
      <c r="L647">
        <v>8000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30</v>
      </c>
      <c r="S647" t="s">
        <v>31</v>
      </c>
    </row>
    <row r="648" spans="1:19" x14ac:dyDescent="0.3">
      <c r="A648">
        <v>5659</v>
      </c>
      <c r="B648" t="s">
        <v>215</v>
      </c>
      <c r="C648" t="s">
        <v>23</v>
      </c>
      <c r="D648" t="s">
        <v>494</v>
      </c>
      <c r="E648" t="s">
        <v>458</v>
      </c>
      <c r="F648" t="s">
        <v>433</v>
      </c>
      <c r="G648" t="s">
        <v>27</v>
      </c>
      <c r="H648" s="1" t="s">
        <v>28</v>
      </c>
      <c r="I648" t="s">
        <v>29</v>
      </c>
      <c r="J648">
        <v>1</v>
      </c>
      <c r="K648">
        <v>6380.95</v>
      </c>
      <c r="L648">
        <v>6380.95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30</v>
      </c>
      <c r="S648" t="s">
        <v>31</v>
      </c>
    </row>
    <row r="649" spans="1:19" x14ac:dyDescent="0.3">
      <c r="A649">
        <v>5660</v>
      </c>
      <c r="B649" t="s">
        <v>39</v>
      </c>
      <c r="C649" t="s">
        <v>23</v>
      </c>
      <c r="D649" t="s">
        <v>212</v>
      </c>
      <c r="E649" t="s">
        <v>495</v>
      </c>
      <c r="F649" t="s">
        <v>433</v>
      </c>
      <c r="G649" t="s">
        <v>27</v>
      </c>
      <c r="H649" s="1" t="s">
        <v>28</v>
      </c>
      <c r="I649" t="s">
        <v>112</v>
      </c>
      <c r="J649">
        <v>2489</v>
      </c>
      <c r="K649">
        <v>2.29</v>
      </c>
      <c r="L649">
        <v>5689.14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30</v>
      </c>
      <c r="S649" t="s">
        <v>31</v>
      </c>
    </row>
    <row r="650" spans="1:19" x14ac:dyDescent="0.3">
      <c r="A650">
        <v>5661</v>
      </c>
      <c r="B650" t="s">
        <v>42</v>
      </c>
      <c r="C650" t="s">
        <v>23</v>
      </c>
      <c r="D650" t="s">
        <v>43</v>
      </c>
      <c r="E650" t="s">
        <v>484</v>
      </c>
      <c r="F650" t="s">
        <v>433</v>
      </c>
      <c r="G650" t="s">
        <v>27</v>
      </c>
      <c r="H650" s="1" t="s">
        <v>28</v>
      </c>
      <c r="I650" t="s">
        <v>29</v>
      </c>
      <c r="J650">
        <v>1</v>
      </c>
      <c r="K650">
        <v>4213.33</v>
      </c>
      <c r="L650">
        <v>4213.33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30</v>
      </c>
      <c r="S650" t="s">
        <v>31</v>
      </c>
    </row>
    <row r="651" spans="1:19" x14ac:dyDescent="0.3">
      <c r="A651">
        <v>5662</v>
      </c>
      <c r="B651" t="s">
        <v>42</v>
      </c>
      <c r="C651" t="s">
        <v>23</v>
      </c>
      <c r="D651" t="s">
        <v>43</v>
      </c>
      <c r="E651" t="s">
        <v>469</v>
      </c>
      <c r="F651" t="s">
        <v>433</v>
      </c>
      <c r="G651" t="s">
        <v>27</v>
      </c>
      <c r="H651" s="1" t="s">
        <v>28</v>
      </c>
      <c r="I651" t="s">
        <v>29</v>
      </c>
      <c r="J651">
        <v>1</v>
      </c>
      <c r="K651">
        <v>961.9</v>
      </c>
      <c r="L651">
        <v>961.9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30</v>
      </c>
      <c r="S651" t="s">
        <v>31</v>
      </c>
    </row>
    <row r="652" spans="1:19" x14ac:dyDescent="0.3">
      <c r="A652">
        <v>5663</v>
      </c>
      <c r="B652" t="s">
        <v>42</v>
      </c>
      <c r="C652" t="s">
        <v>23</v>
      </c>
      <c r="D652" t="s">
        <v>496</v>
      </c>
      <c r="E652" t="s">
        <v>497</v>
      </c>
      <c r="F652" t="s">
        <v>433</v>
      </c>
      <c r="G652" t="s">
        <v>27</v>
      </c>
      <c r="H652" s="1" t="s">
        <v>28</v>
      </c>
      <c r="I652" t="s">
        <v>35</v>
      </c>
      <c r="J652">
        <v>6</v>
      </c>
      <c r="K652">
        <v>16.190000000000001</v>
      </c>
      <c r="L652">
        <v>97.14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30</v>
      </c>
      <c r="S652" t="s">
        <v>31</v>
      </c>
    </row>
    <row r="653" spans="1:19" x14ac:dyDescent="0.3">
      <c r="A653">
        <v>5664</v>
      </c>
      <c r="B653" t="s">
        <v>42</v>
      </c>
      <c r="C653" t="s">
        <v>23</v>
      </c>
      <c r="D653" t="s">
        <v>496</v>
      </c>
      <c r="E653" t="s">
        <v>498</v>
      </c>
      <c r="F653" t="s">
        <v>433</v>
      </c>
      <c r="G653" t="s">
        <v>27</v>
      </c>
      <c r="H653" s="1" t="s">
        <v>28</v>
      </c>
      <c r="I653" t="s">
        <v>35</v>
      </c>
      <c r="J653">
        <v>1</v>
      </c>
      <c r="K653">
        <v>85.5</v>
      </c>
      <c r="L653">
        <v>85.5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30</v>
      </c>
      <c r="S653" t="s">
        <v>31</v>
      </c>
    </row>
    <row r="654" spans="1:19" x14ac:dyDescent="0.3">
      <c r="A654">
        <v>5665</v>
      </c>
      <c r="B654" t="s">
        <v>42</v>
      </c>
      <c r="C654" t="s">
        <v>23</v>
      </c>
      <c r="D654" t="s">
        <v>496</v>
      </c>
      <c r="E654" t="s">
        <v>499</v>
      </c>
      <c r="F654" t="s">
        <v>433</v>
      </c>
      <c r="G654" t="s">
        <v>27</v>
      </c>
      <c r="H654" s="1" t="s">
        <v>28</v>
      </c>
      <c r="I654" t="s">
        <v>35</v>
      </c>
      <c r="J654">
        <v>1</v>
      </c>
      <c r="K654">
        <v>65.02</v>
      </c>
      <c r="L654">
        <v>65.02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</v>
      </c>
      <c r="S654" t="s">
        <v>31</v>
      </c>
    </row>
    <row r="655" spans="1:19" x14ac:dyDescent="0.3">
      <c r="A655">
        <v>5666</v>
      </c>
      <c r="B655" t="s">
        <v>42</v>
      </c>
      <c r="C655" t="s">
        <v>23</v>
      </c>
      <c r="D655" t="s">
        <v>496</v>
      </c>
      <c r="E655" t="s">
        <v>500</v>
      </c>
      <c r="F655" t="s">
        <v>433</v>
      </c>
      <c r="G655" t="s">
        <v>27</v>
      </c>
      <c r="H655" s="1" t="s">
        <v>28</v>
      </c>
      <c r="I655" t="s">
        <v>308</v>
      </c>
      <c r="J655">
        <v>22</v>
      </c>
      <c r="K655">
        <v>32.08</v>
      </c>
      <c r="L655">
        <v>705.68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30</v>
      </c>
      <c r="S655" t="s">
        <v>31</v>
      </c>
    </row>
    <row r="656" spans="1:19" x14ac:dyDescent="0.3">
      <c r="A656">
        <v>5667</v>
      </c>
      <c r="B656" t="s">
        <v>42</v>
      </c>
      <c r="C656" t="s">
        <v>23</v>
      </c>
      <c r="D656" t="s">
        <v>496</v>
      </c>
      <c r="E656" t="s">
        <v>501</v>
      </c>
      <c r="F656" t="s">
        <v>433</v>
      </c>
      <c r="G656" t="s">
        <v>27</v>
      </c>
      <c r="H656" s="1" t="s">
        <v>28</v>
      </c>
      <c r="I656" t="s">
        <v>35</v>
      </c>
      <c r="J656">
        <v>20</v>
      </c>
      <c r="K656">
        <v>24.39</v>
      </c>
      <c r="L656">
        <v>487.81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</v>
      </c>
      <c r="S656" t="s">
        <v>31</v>
      </c>
    </row>
    <row r="657" spans="1:19" x14ac:dyDescent="0.3">
      <c r="A657">
        <v>5668</v>
      </c>
      <c r="B657" t="s">
        <v>42</v>
      </c>
      <c r="C657" t="s">
        <v>23</v>
      </c>
      <c r="D657" t="s">
        <v>496</v>
      </c>
      <c r="E657" t="s">
        <v>502</v>
      </c>
      <c r="F657" t="s">
        <v>433</v>
      </c>
      <c r="G657" t="s">
        <v>27</v>
      </c>
      <c r="H657" s="1" t="s">
        <v>28</v>
      </c>
      <c r="I657" t="s">
        <v>35</v>
      </c>
      <c r="J657">
        <v>3</v>
      </c>
      <c r="K657">
        <v>849.04</v>
      </c>
      <c r="L657">
        <v>2547.11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30</v>
      </c>
      <c r="S657" t="s">
        <v>31</v>
      </c>
    </row>
    <row r="658" spans="1:19" x14ac:dyDescent="0.3">
      <c r="A658">
        <v>5669</v>
      </c>
      <c r="B658" t="s">
        <v>42</v>
      </c>
      <c r="C658" t="s">
        <v>23</v>
      </c>
      <c r="D658" t="s">
        <v>496</v>
      </c>
      <c r="E658" t="s">
        <v>503</v>
      </c>
      <c r="F658" t="s">
        <v>433</v>
      </c>
      <c r="G658" t="s">
        <v>27</v>
      </c>
      <c r="H658" s="1" t="s">
        <v>28</v>
      </c>
      <c r="I658" t="s">
        <v>35</v>
      </c>
      <c r="J658">
        <v>1</v>
      </c>
      <c r="K658">
        <v>403.86</v>
      </c>
      <c r="L658">
        <v>403.86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30</v>
      </c>
      <c r="S658" t="s">
        <v>31</v>
      </c>
    </row>
    <row r="659" spans="1:19" x14ac:dyDescent="0.3">
      <c r="A659">
        <v>5670</v>
      </c>
      <c r="B659" t="s">
        <v>42</v>
      </c>
      <c r="C659" t="s">
        <v>23</v>
      </c>
      <c r="D659" t="s">
        <v>496</v>
      </c>
      <c r="E659" t="s">
        <v>504</v>
      </c>
      <c r="F659" t="s">
        <v>433</v>
      </c>
      <c r="G659" t="s">
        <v>27</v>
      </c>
      <c r="H659" s="1" t="s">
        <v>28</v>
      </c>
      <c r="I659" t="s">
        <v>308</v>
      </c>
      <c r="J659">
        <v>28</v>
      </c>
      <c r="K659">
        <v>74.06</v>
      </c>
      <c r="L659">
        <v>2073.6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30</v>
      </c>
      <c r="S659" t="s">
        <v>31</v>
      </c>
    </row>
    <row r="660" spans="1:19" x14ac:dyDescent="0.3">
      <c r="A660">
        <v>5671</v>
      </c>
      <c r="B660" t="s">
        <v>42</v>
      </c>
      <c r="C660" t="s">
        <v>23</v>
      </c>
      <c r="D660" t="s">
        <v>496</v>
      </c>
      <c r="E660" t="s">
        <v>505</v>
      </c>
      <c r="F660" t="s">
        <v>433</v>
      </c>
      <c r="G660" t="s">
        <v>27</v>
      </c>
      <c r="H660" s="1" t="s">
        <v>28</v>
      </c>
      <c r="I660" t="s">
        <v>35</v>
      </c>
      <c r="J660">
        <v>1</v>
      </c>
      <c r="K660">
        <v>203.42</v>
      </c>
      <c r="L660">
        <v>203.42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</v>
      </c>
      <c r="S660" t="s">
        <v>31</v>
      </c>
    </row>
    <row r="661" spans="1:19" x14ac:dyDescent="0.3">
      <c r="A661">
        <v>5672</v>
      </c>
      <c r="B661" t="s">
        <v>39</v>
      </c>
      <c r="C661" t="s">
        <v>23</v>
      </c>
      <c r="D661" t="s">
        <v>496</v>
      </c>
      <c r="E661" t="s">
        <v>506</v>
      </c>
      <c r="F661" t="s">
        <v>433</v>
      </c>
      <c r="G661" t="s">
        <v>27</v>
      </c>
      <c r="H661" s="1" t="s">
        <v>28</v>
      </c>
      <c r="I661" t="s">
        <v>74</v>
      </c>
      <c r="J661">
        <v>12</v>
      </c>
      <c r="K661">
        <v>9.65</v>
      </c>
      <c r="L661">
        <v>115.77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30</v>
      </c>
      <c r="S661" t="s">
        <v>31</v>
      </c>
    </row>
    <row r="662" spans="1:19" x14ac:dyDescent="0.3">
      <c r="A662">
        <v>5673</v>
      </c>
      <c r="B662" t="s">
        <v>39</v>
      </c>
      <c r="C662" t="s">
        <v>23</v>
      </c>
      <c r="D662" t="s">
        <v>496</v>
      </c>
      <c r="E662" t="s">
        <v>507</v>
      </c>
      <c r="F662" t="s">
        <v>433</v>
      </c>
      <c r="G662" t="s">
        <v>27</v>
      </c>
      <c r="H662" s="1" t="s">
        <v>28</v>
      </c>
      <c r="I662" t="s">
        <v>52</v>
      </c>
      <c r="J662">
        <v>1.2</v>
      </c>
      <c r="K662">
        <v>8.43</v>
      </c>
      <c r="L662">
        <v>10.11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30</v>
      </c>
      <c r="S662" t="s">
        <v>31</v>
      </c>
    </row>
    <row r="663" spans="1:19" x14ac:dyDescent="0.3">
      <c r="A663">
        <v>5674</v>
      </c>
      <c r="B663" t="s">
        <v>39</v>
      </c>
      <c r="C663" t="s">
        <v>23</v>
      </c>
      <c r="D663" t="s">
        <v>496</v>
      </c>
      <c r="E663" t="s">
        <v>508</v>
      </c>
      <c r="F663" t="s">
        <v>433</v>
      </c>
      <c r="G663" t="s">
        <v>27</v>
      </c>
      <c r="H663" s="1" t="s">
        <v>28</v>
      </c>
      <c r="I663" t="s">
        <v>121</v>
      </c>
      <c r="J663">
        <v>1.08</v>
      </c>
      <c r="K663">
        <v>8.43</v>
      </c>
      <c r="L663">
        <v>9.1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30</v>
      </c>
      <c r="S663" t="s">
        <v>31</v>
      </c>
    </row>
    <row r="664" spans="1:19" x14ac:dyDescent="0.3">
      <c r="A664">
        <v>5675</v>
      </c>
      <c r="B664" t="s">
        <v>39</v>
      </c>
      <c r="C664" t="s">
        <v>23</v>
      </c>
      <c r="D664" t="s">
        <v>496</v>
      </c>
      <c r="E664" t="s">
        <v>509</v>
      </c>
      <c r="F664" t="s">
        <v>433</v>
      </c>
      <c r="G664" t="s">
        <v>27</v>
      </c>
      <c r="H664" s="1" t="s">
        <v>28</v>
      </c>
      <c r="I664" t="s">
        <v>121</v>
      </c>
      <c r="J664">
        <v>0.72</v>
      </c>
      <c r="K664">
        <v>35.979999999999997</v>
      </c>
      <c r="L664">
        <v>25.91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</v>
      </c>
      <c r="S664" t="s">
        <v>31</v>
      </c>
    </row>
    <row r="665" spans="1:19" x14ac:dyDescent="0.3">
      <c r="A665">
        <v>5676</v>
      </c>
      <c r="B665" t="s">
        <v>39</v>
      </c>
      <c r="C665" t="s">
        <v>23</v>
      </c>
      <c r="D665" t="s">
        <v>496</v>
      </c>
      <c r="E665" t="s">
        <v>510</v>
      </c>
      <c r="F665" t="s">
        <v>433</v>
      </c>
      <c r="G665" t="s">
        <v>27</v>
      </c>
      <c r="H665" s="1" t="s">
        <v>28</v>
      </c>
      <c r="I665" t="s">
        <v>121</v>
      </c>
      <c r="J665">
        <v>0.3</v>
      </c>
      <c r="K665">
        <v>17.37</v>
      </c>
      <c r="L665">
        <v>5.21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30</v>
      </c>
      <c r="S665" t="s">
        <v>31</v>
      </c>
    </row>
    <row r="666" spans="1:19" x14ac:dyDescent="0.3">
      <c r="A666">
        <v>5677</v>
      </c>
      <c r="B666" t="s">
        <v>39</v>
      </c>
      <c r="C666" t="s">
        <v>23</v>
      </c>
      <c r="D666" t="s">
        <v>496</v>
      </c>
      <c r="E666" t="s">
        <v>511</v>
      </c>
      <c r="F666" t="s">
        <v>433</v>
      </c>
      <c r="G666" t="s">
        <v>27</v>
      </c>
      <c r="H666" s="1" t="s">
        <v>28</v>
      </c>
      <c r="I666" t="s">
        <v>74</v>
      </c>
      <c r="J666">
        <v>6</v>
      </c>
      <c r="K666">
        <v>5.31</v>
      </c>
      <c r="L666">
        <v>31.89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30</v>
      </c>
      <c r="S666" t="s">
        <v>31</v>
      </c>
    </row>
    <row r="667" spans="1:19" x14ac:dyDescent="0.3">
      <c r="A667">
        <v>5678</v>
      </c>
      <c r="B667" t="s">
        <v>39</v>
      </c>
      <c r="C667" t="s">
        <v>23</v>
      </c>
      <c r="D667" t="s">
        <v>496</v>
      </c>
      <c r="E667" t="s">
        <v>512</v>
      </c>
      <c r="F667" t="s">
        <v>433</v>
      </c>
      <c r="G667" t="s">
        <v>27</v>
      </c>
      <c r="H667" s="1" t="s">
        <v>28</v>
      </c>
      <c r="I667" t="s">
        <v>74</v>
      </c>
      <c r="J667">
        <v>6</v>
      </c>
      <c r="K667">
        <v>23.08</v>
      </c>
      <c r="L667">
        <v>138.46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30</v>
      </c>
      <c r="S667" t="s">
        <v>31</v>
      </c>
    </row>
    <row r="668" spans="1:19" x14ac:dyDescent="0.3">
      <c r="A668">
        <v>5679</v>
      </c>
      <c r="B668" t="s">
        <v>39</v>
      </c>
      <c r="C668" t="s">
        <v>23</v>
      </c>
      <c r="D668" t="s">
        <v>496</v>
      </c>
      <c r="E668" t="s">
        <v>513</v>
      </c>
      <c r="F668" t="s">
        <v>433</v>
      </c>
      <c r="G668" t="s">
        <v>27</v>
      </c>
      <c r="H668" s="1" t="s">
        <v>28</v>
      </c>
      <c r="I668" t="s">
        <v>35</v>
      </c>
      <c r="J668">
        <v>1</v>
      </c>
      <c r="K668">
        <v>347.5</v>
      </c>
      <c r="L668">
        <v>347.5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</v>
      </c>
      <c r="S668" t="s">
        <v>31</v>
      </c>
    </row>
    <row r="669" spans="1:19" x14ac:dyDescent="0.3">
      <c r="A669">
        <v>5680</v>
      </c>
      <c r="B669" t="s">
        <v>39</v>
      </c>
      <c r="C669" t="s">
        <v>23</v>
      </c>
      <c r="D669" t="s">
        <v>496</v>
      </c>
      <c r="E669" t="s">
        <v>514</v>
      </c>
      <c r="F669" t="s">
        <v>433</v>
      </c>
      <c r="G669" t="s">
        <v>27</v>
      </c>
      <c r="H669" s="1" t="s">
        <v>28</v>
      </c>
      <c r="I669" t="s">
        <v>121</v>
      </c>
      <c r="J669">
        <v>1.2</v>
      </c>
      <c r="K669">
        <v>177.27</v>
      </c>
      <c r="L669">
        <v>212.72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30</v>
      </c>
      <c r="S669" t="s">
        <v>31</v>
      </c>
    </row>
    <row r="670" spans="1:19" x14ac:dyDescent="0.3">
      <c r="A670">
        <v>5681</v>
      </c>
      <c r="B670" t="s">
        <v>39</v>
      </c>
      <c r="C670" t="s">
        <v>23</v>
      </c>
      <c r="D670" t="s">
        <v>496</v>
      </c>
      <c r="E670" t="s">
        <v>515</v>
      </c>
      <c r="F670" t="s">
        <v>433</v>
      </c>
      <c r="G670" t="s">
        <v>27</v>
      </c>
      <c r="H670" s="1" t="s">
        <v>28</v>
      </c>
      <c r="I670" t="s">
        <v>29</v>
      </c>
      <c r="J670">
        <v>1</v>
      </c>
      <c r="K670">
        <v>168.54</v>
      </c>
      <c r="L670">
        <v>168.54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30</v>
      </c>
      <c r="S670" t="s">
        <v>31</v>
      </c>
    </row>
    <row r="671" spans="1:19" x14ac:dyDescent="0.3">
      <c r="A671">
        <v>5682</v>
      </c>
      <c r="B671" t="s">
        <v>39</v>
      </c>
      <c r="C671" t="s">
        <v>23</v>
      </c>
      <c r="D671" t="s">
        <v>496</v>
      </c>
      <c r="E671" t="s">
        <v>516</v>
      </c>
      <c r="F671" t="s">
        <v>433</v>
      </c>
      <c r="G671" t="s">
        <v>27</v>
      </c>
      <c r="H671" s="1" t="s">
        <v>28</v>
      </c>
      <c r="I671" t="s">
        <v>52</v>
      </c>
      <c r="J671">
        <v>45</v>
      </c>
      <c r="K671">
        <v>5.63</v>
      </c>
      <c r="L671">
        <v>253.29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</v>
      </c>
      <c r="S671" t="s">
        <v>31</v>
      </c>
    </row>
    <row r="672" spans="1:19" x14ac:dyDescent="0.3">
      <c r="A672">
        <v>5683</v>
      </c>
      <c r="B672" t="s">
        <v>39</v>
      </c>
      <c r="C672" t="s">
        <v>23</v>
      </c>
      <c r="D672" t="s">
        <v>129</v>
      </c>
      <c r="E672" t="s">
        <v>517</v>
      </c>
      <c r="F672" t="s">
        <v>433</v>
      </c>
      <c r="G672" t="s">
        <v>27</v>
      </c>
      <c r="H672" s="1" t="s">
        <v>28</v>
      </c>
      <c r="I672" t="s">
        <v>35</v>
      </c>
      <c r="J672">
        <v>2</v>
      </c>
      <c r="K672">
        <v>8000</v>
      </c>
      <c r="L672">
        <v>16000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30</v>
      </c>
      <c r="S672" t="s">
        <v>31</v>
      </c>
    </row>
    <row r="673" spans="1:19" x14ac:dyDescent="0.3">
      <c r="A673">
        <v>5684</v>
      </c>
      <c r="B673" t="s">
        <v>39</v>
      </c>
      <c r="C673" t="s">
        <v>23</v>
      </c>
      <c r="D673" t="s">
        <v>496</v>
      </c>
      <c r="E673" t="s">
        <v>518</v>
      </c>
      <c r="F673" t="s">
        <v>433</v>
      </c>
      <c r="G673" t="s">
        <v>27</v>
      </c>
      <c r="H673" s="1" t="s">
        <v>28</v>
      </c>
      <c r="I673" t="s">
        <v>35</v>
      </c>
      <c r="J673">
        <v>1</v>
      </c>
      <c r="K673">
        <v>81.87</v>
      </c>
      <c r="L673">
        <v>81.87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30</v>
      </c>
      <c r="S673" t="s">
        <v>31</v>
      </c>
    </row>
    <row r="674" spans="1:19" x14ac:dyDescent="0.3">
      <c r="A674">
        <v>5685</v>
      </c>
      <c r="B674" t="s">
        <v>39</v>
      </c>
      <c r="C674" t="s">
        <v>23</v>
      </c>
      <c r="D674" t="s">
        <v>496</v>
      </c>
      <c r="E674" t="s">
        <v>519</v>
      </c>
      <c r="F674" t="s">
        <v>433</v>
      </c>
      <c r="G674" t="s">
        <v>27</v>
      </c>
      <c r="H674" s="1" t="s">
        <v>28</v>
      </c>
      <c r="I674" t="s">
        <v>35</v>
      </c>
      <c r="J674">
        <v>3</v>
      </c>
      <c r="K674">
        <v>122.47</v>
      </c>
      <c r="L674">
        <v>367.4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30</v>
      </c>
      <c r="S674" t="s">
        <v>31</v>
      </c>
    </row>
    <row r="675" spans="1:19" x14ac:dyDescent="0.3">
      <c r="A675">
        <v>5686</v>
      </c>
      <c r="B675" t="s">
        <v>39</v>
      </c>
      <c r="C675" t="s">
        <v>23</v>
      </c>
      <c r="D675" t="s">
        <v>496</v>
      </c>
      <c r="E675" t="s">
        <v>520</v>
      </c>
      <c r="F675" t="s">
        <v>433</v>
      </c>
      <c r="G675" t="s">
        <v>27</v>
      </c>
      <c r="H675" s="1" t="s">
        <v>28</v>
      </c>
      <c r="I675" t="s">
        <v>308</v>
      </c>
      <c r="J675">
        <v>28</v>
      </c>
      <c r="K675">
        <v>10.68</v>
      </c>
      <c r="L675">
        <v>298.93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30</v>
      </c>
      <c r="S675" t="s">
        <v>31</v>
      </c>
    </row>
    <row r="676" spans="1:19" x14ac:dyDescent="0.3">
      <c r="A676">
        <v>5687</v>
      </c>
      <c r="B676" t="s">
        <v>39</v>
      </c>
      <c r="C676" t="s">
        <v>23</v>
      </c>
      <c r="D676" t="s">
        <v>496</v>
      </c>
      <c r="E676" t="s">
        <v>521</v>
      </c>
      <c r="F676" t="s">
        <v>433</v>
      </c>
      <c r="G676" t="s">
        <v>27</v>
      </c>
      <c r="H676" s="1" t="s">
        <v>28</v>
      </c>
      <c r="I676" t="s">
        <v>29</v>
      </c>
      <c r="J676">
        <v>1</v>
      </c>
      <c r="K676">
        <v>176.5</v>
      </c>
      <c r="L676">
        <v>176.5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30</v>
      </c>
      <c r="S676" t="s">
        <v>31</v>
      </c>
    </row>
    <row r="677" spans="1:19" x14ac:dyDescent="0.3">
      <c r="A677">
        <v>5688</v>
      </c>
      <c r="B677" t="s">
        <v>39</v>
      </c>
      <c r="C677" t="s">
        <v>23</v>
      </c>
      <c r="D677" t="s">
        <v>496</v>
      </c>
      <c r="E677" t="s">
        <v>522</v>
      </c>
      <c r="F677" t="s">
        <v>433</v>
      </c>
      <c r="G677" t="s">
        <v>27</v>
      </c>
      <c r="H677" s="1" t="s">
        <v>28</v>
      </c>
      <c r="I677" t="s">
        <v>35</v>
      </c>
      <c r="J677">
        <v>1</v>
      </c>
      <c r="K677">
        <v>171.52</v>
      </c>
      <c r="L677">
        <v>171.52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30</v>
      </c>
      <c r="S677" t="s">
        <v>31</v>
      </c>
    </row>
    <row r="678" spans="1:19" x14ac:dyDescent="0.3">
      <c r="A678">
        <v>5689</v>
      </c>
      <c r="B678" t="s">
        <v>39</v>
      </c>
      <c r="C678" t="s">
        <v>23</v>
      </c>
      <c r="D678" t="s">
        <v>496</v>
      </c>
      <c r="E678" t="s">
        <v>523</v>
      </c>
      <c r="F678" t="s">
        <v>433</v>
      </c>
      <c r="G678" t="s">
        <v>27</v>
      </c>
      <c r="H678" s="1" t="s">
        <v>28</v>
      </c>
      <c r="I678" t="s">
        <v>35</v>
      </c>
      <c r="J678">
        <v>1</v>
      </c>
      <c r="K678">
        <v>171.52</v>
      </c>
      <c r="L678">
        <v>171.52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30</v>
      </c>
      <c r="S678" t="s">
        <v>31</v>
      </c>
    </row>
    <row r="679" spans="1:19" x14ac:dyDescent="0.3">
      <c r="A679">
        <v>5690</v>
      </c>
      <c r="B679" t="s">
        <v>39</v>
      </c>
      <c r="C679" t="s">
        <v>23</v>
      </c>
      <c r="D679" t="s">
        <v>496</v>
      </c>
      <c r="E679" t="s">
        <v>506</v>
      </c>
      <c r="F679" t="s">
        <v>433</v>
      </c>
      <c r="G679" t="s">
        <v>27</v>
      </c>
      <c r="H679" s="1" t="s">
        <v>28</v>
      </c>
      <c r="I679" t="s">
        <v>74</v>
      </c>
      <c r="J679">
        <v>18</v>
      </c>
      <c r="K679">
        <v>9.65</v>
      </c>
      <c r="L679">
        <v>173.66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30</v>
      </c>
      <c r="S679" t="s">
        <v>31</v>
      </c>
    </row>
    <row r="680" spans="1:19" x14ac:dyDescent="0.3">
      <c r="A680">
        <v>5691</v>
      </c>
      <c r="B680" t="s">
        <v>39</v>
      </c>
      <c r="C680" t="s">
        <v>23</v>
      </c>
      <c r="D680" t="s">
        <v>496</v>
      </c>
      <c r="E680" t="s">
        <v>510</v>
      </c>
      <c r="F680" t="s">
        <v>433</v>
      </c>
      <c r="G680" t="s">
        <v>27</v>
      </c>
      <c r="H680" s="1" t="s">
        <v>28</v>
      </c>
      <c r="I680" t="s">
        <v>121</v>
      </c>
      <c r="J680">
        <v>3.6</v>
      </c>
      <c r="K680">
        <v>17.37</v>
      </c>
      <c r="L680">
        <v>62.54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30</v>
      </c>
      <c r="S680" t="s">
        <v>31</v>
      </c>
    </row>
    <row r="681" spans="1:19" x14ac:dyDescent="0.3">
      <c r="A681">
        <v>5692</v>
      </c>
      <c r="B681" t="s">
        <v>39</v>
      </c>
      <c r="C681" t="s">
        <v>23</v>
      </c>
      <c r="D681" t="s">
        <v>496</v>
      </c>
      <c r="E681" t="s">
        <v>524</v>
      </c>
      <c r="F681" t="s">
        <v>433</v>
      </c>
      <c r="G681" t="s">
        <v>27</v>
      </c>
      <c r="H681" s="1" t="s">
        <v>28</v>
      </c>
      <c r="I681" t="s">
        <v>52</v>
      </c>
      <c r="J681">
        <v>13</v>
      </c>
      <c r="K681">
        <v>268.87</v>
      </c>
      <c r="L681">
        <v>3495.27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</v>
      </c>
      <c r="S681" t="s">
        <v>31</v>
      </c>
    </row>
    <row r="682" spans="1:19" x14ac:dyDescent="0.3">
      <c r="A682">
        <v>5693</v>
      </c>
      <c r="B682" t="s">
        <v>39</v>
      </c>
      <c r="C682" t="s">
        <v>23</v>
      </c>
      <c r="D682" t="s">
        <v>496</v>
      </c>
      <c r="E682" t="s">
        <v>525</v>
      </c>
      <c r="F682" t="s">
        <v>433</v>
      </c>
      <c r="G682" t="s">
        <v>27</v>
      </c>
      <c r="H682" s="1" t="s">
        <v>28</v>
      </c>
      <c r="I682" t="s">
        <v>52</v>
      </c>
      <c r="J682">
        <v>13</v>
      </c>
      <c r="K682">
        <v>10.84</v>
      </c>
      <c r="L682">
        <v>140.9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</v>
      </c>
      <c r="S682" t="s">
        <v>31</v>
      </c>
    </row>
    <row r="683" spans="1:19" x14ac:dyDescent="0.3">
      <c r="A683">
        <v>5694</v>
      </c>
      <c r="B683" t="s">
        <v>39</v>
      </c>
      <c r="C683" t="s">
        <v>23</v>
      </c>
      <c r="D683" t="s">
        <v>496</v>
      </c>
      <c r="E683" t="s">
        <v>526</v>
      </c>
      <c r="F683" t="s">
        <v>433</v>
      </c>
      <c r="G683" t="s">
        <v>27</v>
      </c>
      <c r="H683" s="1" t="s">
        <v>28</v>
      </c>
      <c r="I683" t="s">
        <v>121</v>
      </c>
      <c r="J683">
        <v>2</v>
      </c>
      <c r="K683">
        <v>366.39</v>
      </c>
      <c r="L683">
        <v>732.78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30</v>
      </c>
      <c r="S683" t="s">
        <v>31</v>
      </c>
    </row>
    <row r="684" spans="1:19" x14ac:dyDescent="0.3">
      <c r="A684">
        <v>5695</v>
      </c>
      <c r="B684" t="s">
        <v>39</v>
      </c>
      <c r="C684" t="s">
        <v>23</v>
      </c>
      <c r="D684" t="s">
        <v>496</v>
      </c>
      <c r="E684" t="s">
        <v>527</v>
      </c>
      <c r="F684" t="s">
        <v>433</v>
      </c>
      <c r="G684" t="s">
        <v>27</v>
      </c>
      <c r="H684" s="1" t="s">
        <v>28</v>
      </c>
      <c r="I684" t="s">
        <v>121</v>
      </c>
      <c r="J684">
        <v>1</v>
      </c>
      <c r="K684">
        <v>366.39</v>
      </c>
      <c r="L684">
        <v>366.39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30</v>
      </c>
      <c r="S684" t="s">
        <v>31</v>
      </c>
    </row>
    <row r="685" spans="1:19" x14ac:dyDescent="0.3">
      <c r="A685">
        <v>5696</v>
      </c>
      <c r="B685" t="s">
        <v>39</v>
      </c>
      <c r="C685" t="s">
        <v>23</v>
      </c>
      <c r="D685" t="s">
        <v>496</v>
      </c>
      <c r="E685" t="s">
        <v>528</v>
      </c>
      <c r="F685" t="s">
        <v>433</v>
      </c>
      <c r="G685" t="s">
        <v>27</v>
      </c>
      <c r="H685" s="1" t="s">
        <v>28</v>
      </c>
      <c r="I685" t="s">
        <v>121</v>
      </c>
      <c r="J685">
        <v>0.25</v>
      </c>
      <c r="K685">
        <v>33.840000000000003</v>
      </c>
      <c r="L685">
        <v>8.4600000000000009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</v>
      </c>
      <c r="S685" t="s">
        <v>31</v>
      </c>
    </row>
    <row r="686" spans="1:19" x14ac:dyDescent="0.3">
      <c r="A686">
        <v>5697</v>
      </c>
      <c r="B686" t="s">
        <v>42</v>
      </c>
      <c r="C686" t="s">
        <v>23</v>
      </c>
      <c r="D686" t="s">
        <v>496</v>
      </c>
      <c r="E686" t="s">
        <v>529</v>
      </c>
      <c r="F686" t="s">
        <v>433</v>
      </c>
      <c r="G686" t="s">
        <v>27</v>
      </c>
      <c r="H686" s="1" t="s">
        <v>28</v>
      </c>
      <c r="I686" t="s">
        <v>35</v>
      </c>
      <c r="J686">
        <v>1</v>
      </c>
      <c r="K686">
        <v>5978.79</v>
      </c>
      <c r="L686">
        <v>5978.79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</v>
      </c>
      <c r="S686" t="s">
        <v>31</v>
      </c>
    </row>
    <row r="687" spans="1:19" x14ac:dyDescent="0.3">
      <c r="A687">
        <v>5698</v>
      </c>
      <c r="B687" t="s">
        <v>42</v>
      </c>
      <c r="C687" t="s">
        <v>23</v>
      </c>
      <c r="D687" t="s">
        <v>496</v>
      </c>
      <c r="E687" t="s">
        <v>530</v>
      </c>
      <c r="F687" t="s">
        <v>433</v>
      </c>
      <c r="G687" t="s">
        <v>27</v>
      </c>
      <c r="H687" s="1" t="s">
        <v>28</v>
      </c>
      <c r="I687" t="s">
        <v>35</v>
      </c>
      <c r="J687">
        <v>1</v>
      </c>
      <c r="K687">
        <v>16460.16</v>
      </c>
      <c r="L687">
        <v>16460.16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30</v>
      </c>
      <c r="S687" t="s">
        <v>31</v>
      </c>
    </row>
    <row r="688" spans="1:19" x14ac:dyDescent="0.3">
      <c r="A688">
        <v>5699</v>
      </c>
      <c r="B688" t="s">
        <v>42</v>
      </c>
      <c r="C688" t="s">
        <v>23</v>
      </c>
      <c r="D688" t="s">
        <v>496</v>
      </c>
      <c r="E688" t="s">
        <v>531</v>
      </c>
      <c r="F688" t="s">
        <v>433</v>
      </c>
      <c r="G688" t="s">
        <v>27</v>
      </c>
      <c r="H688" s="1" t="s">
        <v>28</v>
      </c>
      <c r="I688" t="s">
        <v>35</v>
      </c>
      <c r="J688">
        <v>2</v>
      </c>
      <c r="K688">
        <v>849.04</v>
      </c>
      <c r="L688">
        <v>1698.08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30</v>
      </c>
      <c r="S688" t="s">
        <v>31</v>
      </c>
    </row>
    <row r="689" spans="1:19" x14ac:dyDescent="0.3">
      <c r="A689">
        <v>5700</v>
      </c>
      <c r="B689" t="s">
        <v>42</v>
      </c>
      <c r="C689" t="s">
        <v>23</v>
      </c>
      <c r="D689" t="s">
        <v>496</v>
      </c>
      <c r="E689" t="s">
        <v>532</v>
      </c>
      <c r="F689" t="s">
        <v>433</v>
      </c>
      <c r="G689" t="s">
        <v>27</v>
      </c>
      <c r="H689" s="1" t="s">
        <v>28</v>
      </c>
      <c r="I689" t="s">
        <v>35</v>
      </c>
      <c r="J689">
        <v>1</v>
      </c>
      <c r="K689">
        <v>430.42</v>
      </c>
      <c r="L689">
        <v>430.42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</v>
      </c>
      <c r="S689" t="s">
        <v>31</v>
      </c>
    </row>
    <row r="690" spans="1:19" x14ac:dyDescent="0.3">
      <c r="A690">
        <v>5701</v>
      </c>
      <c r="B690" t="s">
        <v>42</v>
      </c>
      <c r="C690" t="s">
        <v>23</v>
      </c>
      <c r="D690" t="s">
        <v>496</v>
      </c>
      <c r="E690" t="s">
        <v>533</v>
      </c>
      <c r="F690" t="s">
        <v>433</v>
      </c>
      <c r="G690" t="s">
        <v>27</v>
      </c>
      <c r="H690" s="1" t="s">
        <v>28</v>
      </c>
      <c r="I690" t="s">
        <v>35</v>
      </c>
      <c r="J690">
        <v>2</v>
      </c>
      <c r="K690">
        <v>273.41000000000003</v>
      </c>
      <c r="L690">
        <v>546.82000000000005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</v>
      </c>
      <c r="S690" t="s">
        <v>31</v>
      </c>
    </row>
    <row r="691" spans="1:19" x14ac:dyDescent="0.3">
      <c r="A691">
        <v>5702</v>
      </c>
      <c r="B691" t="s">
        <v>42</v>
      </c>
      <c r="C691" t="s">
        <v>23</v>
      </c>
      <c r="D691" t="s">
        <v>496</v>
      </c>
      <c r="E691" t="s">
        <v>534</v>
      </c>
      <c r="F691" t="s">
        <v>433</v>
      </c>
      <c r="G691" t="s">
        <v>27</v>
      </c>
      <c r="H691" s="1" t="s">
        <v>28</v>
      </c>
      <c r="I691" t="s">
        <v>35</v>
      </c>
      <c r="J691">
        <v>1</v>
      </c>
      <c r="K691">
        <v>1078.1199999999999</v>
      </c>
      <c r="L691">
        <v>1078.1199999999999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</v>
      </c>
      <c r="S691" t="s">
        <v>31</v>
      </c>
    </row>
    <row r="692" spans="1:19" x14ac:dyDescent="0.3">
      <c r="A692">
        <v>5703</v>
      </c>
      <c r="B692" t="s">
        <v>42</v>
      </c>
      <c r="C692" t="s">
        <v>23</v>
      </c>
      <c r="D692" t="s">
        <v>496</v>
      </c>
      <c r="E692" t="s">
        <v>535</v>
      </c>
      <c r="F692" t="s">
        <v>433</v>
      </c>
      <c r="G692" t="s">
        <v>27</v>
      </c>
      <c r="H692" s="1" t="s">
        <v>28</v>
      </c>
      <c r="I692" t="s">
        <v>35</v>
      </c>
      <c r="J692">
        <v>1</v>
      </c>
      <c r="K692">
        <v>343.04</v>
      </c>
      <c r="L692">
        <v>343.04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30</v>
      </c>
      <c r="S692" t="s">
        <v>31</v>
      </c>
    </row>
    <row r="693" spans="1:19" x14ac:dyDescent="0.3">
      <c r="A693">
        <v>5704</v>
      </c>
      <c r="B693" t="s">
        <v>42</v>
      </c>
      <c r="C693" t="s">
        <v>23</v>
      </c>
      <c r="D693" t="s">
        <v>496</v>
      </c>
      <c r="E693" t="s">
        <v>536</v>
      </c>
      <c r="F693" t="s">
        <v>433</v>
      </c>
      <c r="G693" t="s">
        <v>27</v>
      </c>
      <c r="H693" s="1" t="s">
        <v>28</v>
      </c>
      <c r="I693" t="s">
        <v>35</v>
      </c>
      <c r="J693">
        <v>1</v>
      </c>
      <c r="K693">
        <v>343.04</v>
      </c>
      <c r="L693">
        <v>343.04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30</v>
      </c>
      <c r="S693" t="s">
        <v>31</v>
      </c>
    </row>
    <row r="694" spans="1:19" x14ac:dyDescent="0.3">
      <c r="A694">
        <v>5705</v>
      </c>
      <c r="B694" t="s">
        <v>42</v>
      </c>
      <c r="C694" t="s">
        <v>23</v>
      </c>
      <c r="D694" t="s">
        <v>496</v>
      </c>
      <c r="E694" t="s">
        <v>537</v>
      </c>
      <c r="F694" t="s">
        <v>433</v>
      </c>
      <c r="G694" t="s">
        <v>27</v>
      </c>
      <c r="H694" s="1" t="s">
        <v>28</v>
      </c>
      <c r="I694" t="s">
        <v>35</v>
      </c>
      <c r="J694">
        <v>1</v>
      </c>
      <c r="K694">
        <v>466.95</v>
      </c>
      <c r="L694">
        <v>466.95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30</v>
      </c>
      <c r="S694" t="s">
        <v>31</v>
      </c>
    </row>
    <row r="695" spans="1:19" x14ac:dyDescent="0.3">
      <c r="A695">
        <v>5706</v>
      </c>
      <c r="B695" t="s">
        <v>42</v>
      </c>
      <c r="C695" t="s">
        <v>23</v>
      </c>
      <c r="D695" t="s">
        <v>496</v>
      </c>
      <c r="E695" t="s">
        <v>538</v>
      </c>
      <c r="F695" t="s">
        <v>433</v>
      </c>
      <c r="G695" t="s">
        <v>27</v>
      </c>
      <c r="H695" s="1" t="s">
        <v>28</v>
      </c>
      <c r="I695" t="s">
        <v>308</v>
      </c>
      <c r="J695">
        <v>28</v>
      </c>
      <c r="K695">
        <v>103.35</v>
      </c>
      <c r="L695">
        <v>2893.87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30</v>
      </c>
      <c r="S695" t="s">
        <v>31</v>
      </c>
    </row>
    <row r="696" spans="1:19" x14ac:dyDescent="0.3">
      <c r="A696">
        <v>5707</v>
      </c>
      <c r="B696" t="s">
        <v>42</v>
      </c>
      <c r="C696" t="s">
        <v>23</v>
      </c>
      <c r="D696" t="s">
        <v>496</v>
      </c>
      <c r="E696" t="s">
        <v>539</v>
      </c>
      <c r="F696" t="s">
        <v>433</v>
      </c>
      <c r="G696" t="s">
        <v>27</v>
      </c>
      <c r="H696" s="1" t="s">
        <v>28</v>
      </c>
      <c r="I696" t="s">
        <v>35</v>
      </c>
      <c r="J696">
        <v>1</v>
      </c>
      <c r="K696">
        <v>466.95</v>
      </c>
      <c r="L696">
        <v>466.95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</v>
      </c>
      <c r="S696" t="s">
        <v>31</v>
      </c>
    </row>
    <row r="697" spans="1:19" x14ac:dyDescent="0.3">
      <c r="A697">
        <v>5708</v>
      </c>
      <c r="B697" t="s">
        <v>42</v>
      </c>
      <c r="C697" t="s">
        <v>23</v>
      </c>
      <c r="D697" t="s">
        <v>496</v>
      </c>
      <c r="E697" t="s">
        <v>540</v>
      </c>
      <c r="F697" t="s">
        <v>433</v>
      </c>
      <c r="G697" t="s">
        <v>27</v>
      </c>
      <c r="H697" s="1" t="s">
        <v>28</v>
      </c>
      <c r="I697" t="s">
        <v>35</v>
      </c>
      <c r="J697">
        <v>1</v>
      </c>
      <c r="K697">
        <v>273.92</v>
      </c>
      <c r="L697">
        <v>273.92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30</v>
      </c>
      <c r="S697" t="s">
        <v>31</v>
      </c>
    </row>
    <row r="698" spans="1:19" x14ac:dyDescent="0.3">
      <c r="A698">
        <v>5709</v>
      </c>
      <c r="B698" t="s">
        <v>42</v>
      </c>
      <c r="C698" t="s">
        <v>23</v>
      </c>
      <c r="D698" t="s">
        <v>496</v>
      </c>
      <c r="E698" t="s">
        <v>541</v>
      </c>
      <c r="F698" t="s">
        <v>433</v>
      </c>
      <c r="G698" t="s">
        <v>27</v>
      </c>
      <c r="H698" s="1" t="s">
        <v>28</v>
      </c>
      <c r="I698" t="s">
        <v>35</v>
      </c>
      <c r="J698">
        <v>1</v>
      </c>
      <c r="K698">
        <v>46.6</v>
      </c>
      <c r="L698">
        <v>46.6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30</v>
      </c>
      <c r="S698" t="s">
        <v>31</v>
      </c>
    </row>
    <row r="699" spans="1:19" x14ac:dyDescent="0.3">
      <c r="A699">
        <v>5710</v>
      </c>
      <c r="B699" t="s">
        <v>42</v>
      </c>
      <c r="C699" t="s">
        <v>23</v>
      </c>
      <c r="D699" t="s">
        <v>496</v>
      </c>
      <c r="E699" t="s">
        <v>542</v>
      </c>
      <c r="F699" t="s">
        <v>433</v>
      </c>
      <c r="G699" t="s">
        <v>27</v>
      </c>
      <c r="H699" s="1" t="s">
        <v>28</v>
      </c>
      <c r="I699" t="s">
        <v>181</v>
      </c>
      <c r="J699">
        <v>1</v>
      </c>
      <c r="K699">
        <v>66.58</v>
      </c>
      <c r="L699">
        <v>66.58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30</v>
      </c>
      <c r="S699" t="s">
        <v>31</v>
      </c>
    </row>
    <row r="700" spans="1:19" x14ac:dyDescent="0.3">
      <c r="A700">
        <v>5711</v>
      </c>
      <c r="B700" t="s">
        <v>42</v>
      </c>
      <c r="C700" t="s">
        <v>23</v>
      </c>
      <c r="D700" t="s">
        <v>496</v>
      </c>
      <c r="E700" t="s">
        <v>543</v>
      </c>
      <c r="F700" t="s">
        <v>433</v>
      </c>
      <c r="G700" t="s">
        <v>27</v>
      </c>
      <c r="H700" s="1" t="s">
        <v>28</v>
      </c>
      <c r="I700" t="s">
        <v>35</v>
      </c>
      <c r="J700">
        <v>1</v>
      </c>
      <c r="K700">
        <v>40.69</v>
      </c>
      <c r="L700">
        <v>40.69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30</v>
      </c>
      <c r="S700" t="s">
        <v>31</v>
      </c>
    </row>
    <row r="701" spans="1:19" x14ac:dyDescent="0.3">
      <c r="A701">
        <v>5712</v>
      </c>
      <c r="B701" t="s">
        <v>42</v>
      </c>
      <c r="C701" t="s">
        <v>23</v>
      </c>
      <c r="D701" t="s">
        <v>496</v>
      </c>
      <c r="E701" t="s">
        <v>544</v>
      </c>
      <c r="F701" t="s">
        <v>433</v>
      </c>
      <c r="G701" t="s">
        <v>27</v>
      </c>
      <c r="H701" s="1" t="s">
        <v>28</v>
      </c>
      <c r="I701" t="s">
        <v>35</v>
      </c>
      <c r="J701">
        <v>3</v>
      </c>
      <c r="K701">
        <v>70.489999999999995</v>
      </c>
      <c r="L701">
        <v>211.46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</v>
      </c>
      <c r="S701" t="s">
        <v>31</v>
      </c>
    </row>
    <row r="702" spans="1:19" x14ac:dyDescent="0.3">
      <c r="A702">
        <v>5713</v>
      </c>
      <c r="B702" t="s">
        <v>42</v>
      </c>
      <c r="C702" t="s">
        <v>23</v>
      </c>
      <c r="D702" t="s">
        <v>496</v>
      </c>
      <c r="E702" t="s">
        <v>545</v>
      </c>
      <c r="F702" t="s">
        <v>433</v>
      </c>
      <c r="G702" t="s">
        <v>27</v>
      </c>
      <c r="H702" s="1" t="s">
        <v>28</v>
      </c>
      <c r="I702" t="s">
        <v>35</v>
      </c>
      <c r="J702">
        <v>1</v>
      </c>
      <c r="K702">
        <v>106</v>
      </c>
      <c r="L702">
        <v>106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30</v>
      </c>
      <c r="S702" t="s">
        <v>31</v>
      </c>
    </row>
    <row r="703" spans="1:19" x14ac:dyDescent="0.3">
      <c r="A703">
        <v>5714</v>
      </c>
      <c r="B703" t="s">
        <v>42</v>
      </c>
      <c r="C703" t="s">
        <v>23</v>
      </c>
      <c r="D703" t="s">
        <v>496</v>
      </c>
      <c r="E703" t="s">
        <v>546</v>
      </c>
      <c r="F703" t="s">
        <v>433</v>
      </c>
      <c r="G703" t="s">
        <v>27</v>
      </c>
      <c r="H703" s="1" t="s">
        <v>28</v>
      </c>
      <c r="I703" t="s">
        <v>74</v>
      </c>
      <c r="J703">
        <v>6</v>
      </c>
      <c r="K703">
        <v>68.989999999999995</v>
      </c>
      <c r="L703">
        <v>413.94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</v>
      </c>
      <c r="S703" t="s">
        <v>31</v>
      </c>
    </row>
    <row r="704" spans="1:19" x14ac:dyDescent="0.3">
      <c r="A704">
        <v>5715</v>
      </c>
      <c r="B704" t="s">
        <v>42</v>
      </c>
      <c r="C704" t="s">
        <v>23</v>
      </c>
      <c r="D704" t="s">
        <v>496</v>
      </c>
      <c r="E704" t="s">
        <v>547</v>
      </c>
      <c r="F704" t="s">
        <v>433</v>
      </c>
      <c r="G704" t="s">
        <v>27</v>
      </c>
      <c r="H704" s="1" t="s">
        <v>28</v>
      </c>
      <c r="I704" t="s">
        <v>35</v>
      </c>
      <c r="J704">
        <v>1</v>
      </c>
      <c r="K704">
        <v>117885.9</v>
      </c>
      <c r="L704">
        <v>117885.9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30</v>
      </c>
      <c r="S704" t="s">
        <v>31</v>
      </c>
    </row>
    <row r="705" spans="1:19" x14ac:dyDescent="0.3">
      <c r="A705">
        <v>5716</v>
      </c>
      <c r="B705" t="s">
        <v>42</v>
      </c>
      <c r="C705" t="s">
        <v>23</v>
      </c>
      <c r="D705" t="s">
        <v>496</v>
      </c>
      <c r="E705" t="s">
        <v>548</v>
      </c>
      <c r="F705" t="s">
        <v>433</v>
      </c>
      <c r="G705" t="s">
        <v>27</v>
      </c>
      <c r="H705" s="1" t="s">
        <v>28</v>
      </c>
      <c r="I705" t="s">
        <v>35</v>
      </c>
      <c r="J705">
        <v>1</v>
      </c>
      <c r="K705">
        <v>7956.97</v>
      </c>
      <c r="L705">
        <v>7956.97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30</v>
      </c>
      <c r="S705" t="s">
        <v>31</v>
      </c>
    </row>
    <row r="706" spans="1:19" x14ac:dyDescent="0.3">
      <c r="A706">
        <v>5717</v>
      </c>
      <c r="B706" t="s">
        <v>42</v>
      </c>
      <c r="C706" t="s">
        <v>23</v>
      </c>
      <c r="D706" t="s">
        <v>496</v>
      </c>
      <c r="E706" t="s">
        <v>549</v>
      </c>
      <c r="F706" t="s">
        <v>433</v>
      </c>
      <c r="G706" t="s">
        <v>27</v>
      </c>
      <c r="H706" s="1" t="s">
        <v>28</v>
      </c>
      <c r="I706" t="s">
        <v>35</v>
      </c>
      <c r="J706">
        <v>1</v>
      </c>
      <c r="K706">
        <v>3193.03</v>
      </c>
      <c r="L706">
        <v>3193.03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30</v>
      </c>
      <c r="S706" t="s">
        <v>31</v>
      </c>
    </row>
    <row r="707" spans="1:19" x14ac:dyDescent="0.3">
      <c r="A707">
        <v>5718</v>
      </c>
      <c r="B707" t="s">
        <v>42</v>
      </c>
      <c r="C707" t="s">
        <v>23</v>
      </c>
      <c r="D707" t="s">
        <v>496</v>
      </c>
      <c r="E707" t="s">
        <v>550</v>
      </c>
      <c r="F707" t="s">
        <v>433</v>
      </c>
      <c r="G707" t="s">
        <v>27</v>
      </c>
      <c r="H707" s="1" t="s">
        <v>28</v>
      </c>
      <c r="I707" t="s">
        <v>74</v>
      </c>
      <c r="J707">
        <v>15</v>
      </c>
      <c r="K707">
        <v>1290.1199999999999</v>
      </c>
      <c r="L707">
        <v>19351.86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30</v>
      </c>
      <c r="S707" t="s">
        <v>31</v>
      </c>
    </row>
    <row r="708" spans="1:19" x14ac:dyDescent="0.3">
      <c r="A708">
        <v>5719</v>
      </c>
      <c r="B708" t="s">
        <v>42</v>
      </c>
      <c r="C708" t="s">
        <v>23</v>
      </c>
      <c r="D708" t="s">
        <v>496</v>
      </c>
      <c r="E708" t="s">
        <v>551</v>
      </c>
      <c r="F708" t="s">
        <v>433</v>
      </c>
      <c r="G708" t="s">
        <v>27</v>
      </c>
      <c r="H708" s="1" t="s">
        <v>28</v>
      </c>
      <c r="I708" t="s">
        <v>74</v>
      </c>
      <c r="J708">
        <v>11</v>
      </c>
      <c r="K708">
        <v>1297.1600000000001</v>
      </c>
      <c r="L708">
        <v>14268.78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30</v>
      </c>
      <c r="S708" t="s">
        <v>31</v>
      </c>
    </row>
    <row r="709" spans="1:19" x14ac:dyDescent="0.3">
      <c r="A709">
        <v>5720</v>
      </c>
      <c r="B709" t="s">
        <v>42</v>
      </c>
      <c r="C709" t="s">
        <v>23</v>
      </c>
      <c r="D709" t="s">
        <v>496</v>
      </c>
      <c r="E709" t="s">
        <v>552</v>
      </c>
      <c r="F709" t="s">
        <v>433</v>
      </c>
      <c r="G709" t="s">
        <v>27</v>
      </c>
      <c r="H709" s="1" t="s">
        <v>28</v>
      </c>
      <c r="I709" t="s">
        <v>74</v>
      </c>
      <c r="J709">
        <v>15</v>
      </c>
      <c r="K709">
        <v>725.43</v>
      </c>
      <c r="L709">
        <v>10881.43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30</v>
      </c>
      <c r="S709" t="s">
        <v>31</v>
      </c>
    </row>
    <row r="710" spans="1:19" x14ac:dyDescent="0.3">
      <c r="A710">
        <v>5721</v>
      </c>
      <c r="B710" t="s">
        <v>42</v>
      </c>
      <c r="C710" t="s">
        <v>23</v>
      </c>
      <c r="D710" t="s">
        <v>496</v>
      </c>
      <c r="E710" t="s">
        <v>553</v>
      </c>
      <c r="F710" t="s">
        <v>433</v>
      </c>
      <c r="G710" t="s">
        <v>27</v>
      </c>
      <c r="H710" s="1" t="s">
        <v>28</v>
      </c>
      <c r="I710" t="s">
        <v>74</v>
      </c>
      <c r="J710">
        <v>18</v>
      </c>
      <c r="K710">
        <v>857.09</v>
      </c>
      <c r="L710">
        <v>15427.54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30</v>
      </c>
      <c r="S710" t="s">
        <v>31</v>
      </c>
    </row>
    <row r="711" spans="1:19" x14ac:dyDescent="0.3">
      <c r="A711">
        <v>5722</v>
      </c>
      <c r="B711" t="s">
        <v>42</v>
      </c>
      <c r="C711" t="s">
        <v>23</v>
      </c>
      <c r="D711" t="s">
        <v>496</v>
      </c>
      <c r="E711" t="s">
        <v>554</v>
      </c>
      <c r="F711" t="s">
        <v>433</v>
      </c>
      <c r="G711" t="s">
        <v>27</v>
      </c>
      <c r="H711" s="1" t="s">
        <v>28</v>
      </c>
      <c r="I711" t="s">
        <v>35</v>
      </c>
      <c r="J711">
        <v>1</v>
      </c>
      <c r="K711">
        <v>417.34</v>
      </c>
      <c r="L711">
        <v>417.34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30</v>
      </c>
      <c r="S711" t="s">
        <v>31</v>
      </c>
    </row>
    <row r="712" spans="1:19" x14ac:dyDescent="0.3">
      <c r="A712">
        <v>5723</v>
      </c>
      <c r="B712" t="s">
        <v>42</v>
      </c>
      <c r="C712" t="s">
        <v>23</v>
      </c>
      <c r="D712" t="s">
        <v>43</v>
      </c>
      <c r="E712" t="s">
        <v>555</v>
      </c>
      <c r="F712" t="s">
        <v>433</v>
      </c>
      <c r="G712" t="s">
        <v>27</v>
      </c>
      <c r="H712" s="1" t="s">
        <v>28</v>
      </c>
      <c r="I712" t="s">
        <v>29</v>
      </c>
      <c r="J712">
        <v>1</v>
      </c>
      <c r="K712">
        <v>17000</v>
      </c>
      <c r="L712">
        <v>17000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</v>
      </c>
      <c r="S712" t="s">
        <v>31</v>
      </c>
    </row>
    <row r="713" spans="1:19" x14ac:dyDescent="0.3">
      <c r="A713">
        <v>5724</v>
      </c>
      <c r="B713" t="s">
        <v>42</v>
      </c>
      <c r="C713" t="s">
        <v>23</v>
      </c>
      <c r="D713" t="s">
        <v>43</v>
      </c>
      <c r="E713" t="s">
        <v>556</v>
      </c>
      <c r="F713" t="s">
        <v>433</v>
      </c>
      <c r="G713" t="s">
        <v>27</v>
      </c>
      <c r="H713" s="1" t="s">
        <v>28</v>
      </c>
      <c r="I713" t="s">
        <v>29</v>
      </c>
      <c r="J713">
        <v>1</v>
      </c>
      <c r="K713">
        <v>2500</v>
      </c>
      <c r="L713">
        <v>2500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</v>
      </c>
      <c r="S713" t="s">
        <v>31</v>
      </c>
    </row>
    <row r="714" spans="1:19" x14ac:dyDescent="0.3">
      <c r="A714">
        <v>5725</v>
      </c>
      <c r="B714" t="s">
        <v>42</v>
      </c>
      <c r="C714" t="s">
        <v>23</v>
      </c>
      <c r="D714" t="s">
        <v>43</v>
      </c>
      <c r="E714" t="s">
        <v>557</v>
      </c>
      <c r="F714" t="s">
        <v>433</v>
      </c>
      <c r="G714" t="s">
        <v>27</v>
      </c>
      <c r="H714" s="1" t="s">
        <v>28</v>
      </c>
      <c r="I714" t="s">
        <v>29</v>
      </c>
      <c r="J714">
        <v>1</v>
      </c>
      <c r="K714">
        <v>10000</v>
      </c>
      <c r="L714">
        <v>10000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</v>
      </c>
      <c r="S714" t="s">
        <v>31</v>
      </c>
    </row>
    <row r="715" spans="1:19" x14ac:dyDescent="0.3">
      <c r="A715">
        <v>5726</v>
      </c>
      <c r="B715" t="s">
        <v>32</v>
      </c>
      <c r="C715" t="s">
        <v>23</v>
      </c>
      <c r="D715" t="s">
        <v>215</v>
      </c>
      <c r="E715" t="s">
        <v>558</v>
      </c>
      <c r="F715" t="s">
        <v>433</v>
      </c>
      <c r="G715" t="s">
        <v>27</v>
      </c>
      <c r="H715" s="1" t="s">
        <v>28</v>
      </c>
      <c r="I715" t="s">
        <v>35</v>
      </c>
      <c r="J715">
        <v>1</v>
      </c>
      <c r="K715">
        <v>35000</v>
      </c>
      <c r="L715">
        <v>35000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30</v>
      </c>
      <c r="S715" t="s">
        <v>31</v>
      </c>
    </row>
    <row r="716" spans="1:19" x14ac:dyDescent="0.3">
      <c r="A716">
        <v>5727</v>
      </c>
      <c r="B716" t="s">
        <v>32</v>
      </c>
      <c r="C716" t="s">
        <v>23</v>
      </c>
      <c r="D716" t="s">
        <v>215</v>
      </c>
      <c r="E716" t="s">
        <v>559</v>
      </c>
      <c r="F716" t="s">
        <v>433</v>
      </c>
      <c r="G716" t="s">
        <v>27</v>
      </c>
      <c r="H716" s="1" t="s">
        <v>28</v>
      </c>
      <c r="I716" t="s">
        <v>35</v>
      </c>
      <c r="J716">
        <v>1</v>
      </c>
      <c r="K716">
        <v>25000</v>
      </c>
      <c r="L716">
        <v>25000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</v>
      </c>
      <c r="S716" t="s">
        <v>31</v>
      </c>
    </row>
    <row r="717" spans="1:19" x14ac:dyDescent="0.3">
      <c r="A717">
        <v>5728</v>
      </c>
      <c r="B717" t="s">
        <v>32</v>
      </c>
      <c r="C717" t="s">
        <v>23</v>
      </c>
      <c r="D717" t="s">
        <v>215</v>
      </c>
      <c r="E717" t="s">
        <v>560</v>
      </c>
      <c r="F717" t="s">
        <v>433</v>
      </c>
      <c r="G717" t="s">
        <v>27</v>
      </c>
      <c r="H717" s="1" t="s">
        <v>28</v>
      </c>
      <c r="I717" t="s">
        <v>35</v>
      </c>
      <c r="J717">
        <v>4</v>
      </c>
      <c r="K717">
        <v>8000</v>
      </c>
      <c r="L717">
        <v>32000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30</v>
      </c>
      <c r="S717" t="s">
        <v>31</v>
      </c>
    </row>
    <row r="718" spans="1:19" x14ac:dyDescent="0.3">
      <c r="A718">
        <v>5729</v>
      </c>
      <c r="B718" t="s">
        <v>32</v>
      </c>
      <c r="C718" t="s">
        <v>23</v>
      </c>
      <c r="D718" t="s">
        <v>215</v>
      </c>
      <c r="E718" t="s">
        <v>561</v>
      </c>
      <c r="F718" t="s">
        <v>433</v>
      </c>
      <c r="G718" t="s">
        <v>27</v>
      </c>
      <c r="H718" s="1" t="s">
        <v>28</v>
      </c>
      <c r="I718" t="s">
        <v>29</v>
      </c>
      <c r="J718">
        <v>1</v>
      </c>
      <c r="K718">
        <v>45000</v>
      </c>
      <c r="L718">
        <v>45000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30</v>
      </c>
      <c r="S718" t="s">
        <v>31</v>
      </c>
    </row>
    <row r="719" spans="1:19" x14ac:dyDescent="0.3">
      <c r="A719">
        <v>5730</v>
      </c>
      <c r="B719" t="s">
        <v>32</v>
      </c>
      <c r="C719" t="s">
        <v>23</v>
      </c>
      <c r="D719" t="s">
        <v>215</v>
      </c>
      <c r="E719" t="s">
        <v>562</v>
      </c>
      <c r="F719" t="s">
        <v>433</v>
      </c>
      <c r="G719" t="s">
        <v>27</v>
      </c>
      <c r="H719" s="1" t="s">
        <v>28</v>
      </c>
      <c r="I719" t="s">
        <v>74</v>
      </c>
      <c r="J719">
        <v>160</v>
      </c>
      <c r="K719">
        <v>85</v>
      </c>
      <c r="L719">
        <v>13600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30</v>
      </c>
      <c r="S719" t="s">
        <v>31</v>
      </c>
    </row>
    <row r="720" spans="1:19" x14ac:dyDescent="0.3">
      <c r="A720">
        <v>5731</v>
      </c>
      <c r="B720" t="s">
        <v>22</v>
      </c>
      <c r="C720" t="s">
        <v>23</v>
      </c>
      <c r="D720" t="s">
        <v>24</v>
      </c>
      <c r="E720" t="s">
        <v>563</v>
      </c>
      <c r="F720" t="s">
        <v>433</v>
      </c>
      <c r="G720" t="s">
        <v>27</v>
      </c>
      <c r="H720" s="1" t="s">
        <v>28</v>
      </c>
      <c r="I720" t="s">
        <v>29</v>
      </c>
      <c r="J720">
        <v>1</v>
      </c>
      <c r="K720">
        <v>50000</v>
      </c>
      <c r="L720">
        <v>50000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30</v>
      </c>
      <c r="S720" t="s">
        <v>31</v>
      </c>
    </row>
    <row r="721" spans="1:19" x14ac:dyDescent="0.3">
      <c r="A721">
        <v>5732</v>
      </c>
      <c r="B721" t="s">
        <v>22</v>
      </c>
      <c r="C721" t="s">
        <v>23</v>
      </c>
      <c r="D721" t="s">
        <v>24</v>
      </c>
      <c r="E721" t="s">
        <v>564</v>
      </c>
      <c r="F721" t="s">
        <v>433</v>
      </c>
      <c r="G721" t="s">
        <v>27</v>
      </c>
      <c r="H721" s="1" t="s">
        <v>28</v>
      </c>
      <c r="I721" t="s">
        <v>29</v>
      </c>
      <c r="J721">
        <v>1</v>
      </c>
      <c r="K721">
        <v>80000</v>
      </c>
      <c r="L721">
        <v>80000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</v>
      </c>
      <c r="S721" t="s">
        <v>31</v>
      </c>
    </row>
    <row r="722" spans="1:19" x14ac:dyDescent="0.3">
      <c r="A722">
        <v>5733</v>
      </c>
      <c r="B722" t="s">
        <v>22</v>
      </c>
      <c r="C722" t="s">
        <v>23</v>
      </c>
      <c r="D722" t="s">
        <v>24</v>
      </c>
      <c r="E722" t="s">
        <v>565</v>
      </c>
      <c r="F722" t="s">
        <v>433</v>
      </c>
      <c r="G722" t="s">
        <v>27</v>
      </c>
      <c r="H722" s="1" t="s">
        <v>28</v>
      </c>
      <c r="I722" t="s">
        <v>29</v>
      </c>
      <c r="J722">
        <v>1</v>
      </c>
      <c r="K722">
        <v>25000</v>
      </c>
      <c r="L722">
        <v>25000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30</v>
      </c>
      <c r="S722" t="s">
        <v>31</v>
      </c>
    </row>
    <row r="723" spans="1:19" x14ac:dyDescent="0.3">
      <c r="A723">
        <v>5734</v>
      </c>
      <c r="B723" t="s">
        <v>245</v>
      </c>
      <c r="C723" t="s">
        <v>23</v>
      </c>
      <c r="D723" t="s">
        <v>566</v>
      </c>
      <c r="E723" t="s">
        <v>567</v>
      </c>
      <c r="F723" t="s">
        <v>433</v>
      </c>
      <c r="G723" t="s">
        <v>27</v>
      </c>
      <c r="H723" s="1" t="s">
        <v>28</v>
      </c>
      <c r="I723" t="s">
        <v>29</v>
      </c>
      <c r="J723">
        <v>1</v>
      </c>
      <c r="K723">
        <v>18000</v>
      </c>
      <c r="L723">
        <v>18000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30</v>
      </c>
      <c r="S723" t="s">
        <v>31</v>
      </c>
    </row>
    <row r="724" spans="1:19" x14ac:dyDescent="0.3">
      <c r="A724">
        <v>5735</v>
      </c>
      <c r="B724" t="s">
        <v>32</v>
      </c>
      <c r="C724" t="s">
        <v>23</v>
      </c>
      <c r="D724" t="s">
        <v>215</v>
      </c>
      <c r="E724" t="s">
        <v>568</v>
      </c>
      <c r="F724" t="s">
        <v>433</v>
      </c>
      <c r="G724" t="s">
        <v>27</v>
      </c>
      <c r="H724" s="1" t="s">
        <v>28</v>
      </c>
      <c r="I724" t="s">
        <v>29</v>
      </c>
      <c r="J724">
        <v>1</v>
      </c>
      <c r="K724">
        <v>45000</v>
      </c>
      <c r="L724">
        <v>45000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30</v>
      </c>
      <c r="S724" t="s">
        <v>31</v>
      </c>
    </row>
    <row r="725" spans="1:19" x14ac:dyDescent="0.3">
      <c r="A725">
        <v>5736</v>
      </c>
      <c r="B725" t="s">
        <v>32</v>
      </c>
      <c r="C725" t="s">
        <v>23</v>
      </c>
      <c r="D725" t="s">
        <v>215</v>
      </c>
      <c r="E725" t="s">
        <v>569</v>
      </c>
      <c r="F725" t="s">
        <v>433</v>
      </c>
      <c r="G725" t="s">
        <v>27</v>
      </c>
      <c r="H725" s="1" t="s">
        <v>28</v>
      </c>
      <c r="I725" t="s">
        <v>35</v>
      </c>
      <c r="J725">
        <v>3</v>
      </c>
      <c r="K725">
        <v>2500</v>
      </c>
      <c r="L725">
        <v>7500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30</v>
      </c>
      <c r="S725" t="s">
        <v>31</v>
      </c>
    </row>
    <row r="726" spans="1:19" x14ac:dyDescent="0.3">
      <c r="A726">
        <v>5737</v>
      </c>
      <c r="B726" t="s">
        <v>22</v>
      </c>
      <c r="C726" t="s">
        <v>23</v>
      </c>
      <c r="D726" t="s">
        <v>24</v>
      </c>
      <c r="E726" t="s">
        <v>570</v>
      </c>
      <c r="F726" t="s">
        <v>433</v>
      </c>
      <c r="G726" t="s">
        <v>27</v>
      </c>
      <c r="H726" s="1" t="s">
        <v>28</v>
      </c>
      <c r="I726" t="s">
        <v>35</v>
      </c>
      <c r="J726">
        <v>3</v>
      </c>
      <c r="K726">
        <v>8000</v>
      </c>
      <c r="L726">
        <v>24000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30</v>
      </c>
      <c r="S726" t="s">
        <v>31</v>
      </c>
    </row>
    <row r="727" spans="1:19" x14ac:dyDescent="0.3">
      <c r="A727">
        <v>5738</v>
      </c>
      <c r="B727" t="s">
        <v>32</v>
      </c>
      <c r="C727" t="s">
        <v>23</v>
      </c>
      <c r="D727" t="s">
        <v>215</v>
      </c>
      <c r="E727" t="s">
        <v>571</v>
      </c>
      <c r="F727" t="s">
        <v>433</v>
      </c>
      <c r="G727" t="s">
        <v>27</v>
      </c>
      <c r="H727" s="1" t="s">
        <v>28</v>
      </c>
      <c r="I727" t="s">
        <v>29</v>
      </c>
      <c r="J727">
        <v>1</v>
      </c>
      <c r="K727">
        <v>2500</v>
      </c>
      <c r="L727">
        <v>2500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30</v>
      </c>
      <c r="S727" t="s">
        <v>31</v>
      </c>
    </row>
    <row r="728" spans="1:19" x14ac:dyDescent="0.3">
      <c r="A728">
        <v>5739</v>
      </c>
      <c r="B728" t="s">
        <v>22</v>
      </c>
      <c r="C728" t="s">
        <v>23</v>
      </c>
      <c r="D728" t="s">
        <v>24</v>
      </c>
      <c r="E728" t="s">
        <v>572</v>
      </c>
      <c r="F728" t="s">
        <v>573</v>
      </c>
      <c r="G728" t="s">
        <v>27</v>
      </c>
      <c r="H728" s="1" t="s">
        <v>28</v>
      </c>
      <c r="I728" t="s">
        <v>35</v>
      </c>
      <c r="J728">
        <v>4</v>
      </c>
      <c r="K728">
        <v>2500</v>
      </c>
      <c r="L728">
        <v>10000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30</v>
      </c>
      <c r="S7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C140-6CF1-4AD8-AC49-E003BC9B26A0}">
  <dimension ref="A1:D35"/>
  <sheetViews>
    <sheetView tabSelected="1" workbookViewId="0">
      <selection activeCell="C33" sqref="C33"/>
    </sheetView>
  </sheetViews>
  <sheetFormatPr baseColWidth="10" defaultRowHeight="14.4" x14ac:dyDescent="0.3"/>
  <cols>
    <col min="1" max="1" width="15.33203125" style="7" bestFit="1" customWidth="1"/>
    <col min="2" max="2" width="15.33203125" bestFit="1" customWidth="1"/>
    <col min="3" max="3" width="15" bestFit="1" customWidth="1"/>
    <col min="4" max="4" width="13.109375" bestFit="1" customWidth="1"/>
  </cols>
  <sheetData>
    <row r="1" spans="1:4" x14ac:dyDescent="0.3">
      <c r="A1" s="8" t="s">
        <v>586</v>
      </c>
      <c r="B1" s="9" t="s">
        <v>590</v>
      </c>
      <c r="C1" s="9" t="s">
        <v>592</v>
      </c>
      <c r="D1" s="9" t="s">
        <v>591</v>
      </c>
    </row>
    <row r="2" spans="1:4" x14ac:dyDescent="0.3">
      <c r="A2" s="5" t="s">
        <v>586</v>
      </c>
      <c r="B2" s="4" t="s">
        <v>588</v>
      </c>
      <c r="C2" s="4" t="s">
        <v>587</v>
      </c>
      <c r="D2" s="9" t="s">
        <v>587</v>
      </c>
    </row>
    <row r="3" spans="1:4" x14ac:dyDescent="0.3">
      <c r="A3" s="6" t="s">
        <v>574</v>
      </c>
      <c r="B3" s="11">
        <v>8.3299999999999999E-2</v>
      </c>
      <c r="C3" s="10">
        <f>D3/B16</f>
        <v>0</v>
      </c>
      <c r="D3">
        <v>0</v>
      </c>
    </row>
    <row r="4" spans="1:4" x14ac:dyDescent="0.3">
      <c r="A4" s="6" t="s">
        <v>575</v>
      </c>
      <c r="B4" s="11">
        <f>0.0833+B3</f>
        <v>0.1666</v>
      </c>
      <c r="C4" s="10">
        <f>+C3+D4/$B$16</f>
        <v>0.05</v>
      </c>
      <c r="D4">
        <v>5000</v>
      </c>
    </row>
    <row r="5" spans="1:4" x14ac:dyDescent="0.3">
      <c r="A5" s="6" t="s">
        <v>576</v>
      </c>
      <c r="B5" s="11">
        <f>0.0833+B4</f>
        <v>0.24990000000000001</v>
      </c>
      <c r="C5" s="10">
        <f t="shared" ref="C5:C14" si="0">+C4+D5/$B$16</f>
        <v>6.0000000000000005E-2</v>
      </c>
      <c r="D5">
        <v>1000</v>
      </c>
    </row>
    <row r="6" spans="1:4" x14ac:dyDescent="0.3">
      <c r="A6" s="6" t="s">
        <v>577</v>
      </c>
      <c r="B6" s="11">
        <f>0.0833+B5</f>
        <v>0.3332</v>
      </c>
      <c r="C6" s="10">
        <f t="shared" si="0"/>
        <v>0.12</v>
      </c>
      <c r="D6">
        <v>6000</v>
      </c>
    </row>
    <row r="7" spans="1:4" x14ac:dyDescent="0.3">
      <c r="A7" s="6" t="s">
        <v>578</v>
      </c>
      <c r="B7" s="11">
        <f>0.0833+B6</f>
        <v>0.41649999999999998</v>
      </c>
      <c r="C7" s="10">
        <f t="shared" si="0"/>
        <v>0.19</v>
      </c>
      <c r="D7">
        <v>7000</v>
      </c>
    </row>
    <row r="8" spans="1:4" x14ac:dyDescent="0.3">
      <c r="A8" s="6" t="s">
        <v>579</v>
      </c>
      <c r="B8" s="11">
        <f>0.0833+B7</f>
        <v>0.49979999999999997</v>
      </c>
      <c r="C8" s="10">
        <f t="shared" si="0"/>
        <v>0.27</v>
      </c>
      <c r="D8">
        <v>8000</v>
      </c>
    </row>
    <row r="9" spans="1:4" x14ac:dyDescent="0.3">
      <c r="A9" s="6" t="s">
        <v>580</v>
      </c>
      <c r="B9" s="11">
        <f>0.0833+B8</f>
        <v>0.58309999999999995</v>
      </c>
      <c r="C9" s="10">
        <f t="shared" si="0"/>
        <v>0.37</v>
      </c>
      <c r="D9">
        <v>10000</v>
      </c>
    </row>
    <row r="10" spans="1:4" x14ac:dyDescent="0.3">
      <c r="A10" s="6" t="s">
        <v>581</v>
      </c>
      <c r="B10" s="11">
        <f>0.0833+B9</f>
        <v>0.66639999999999999</v>
      </c>
      <c r="C10" s="10">
        <f t="shared" si="0"/>
        <v>0.66999999999999993</v>
      </c>
      <c r="D10">
        <v>30000</v>
      </c>
    </row>
    <row r="11" spans="1:4" x14ac:dyDescent="0.3">
      <c r="A11" s="6" t="s">
        <v>582</v>
      </c>
      <c r="B11" s="11">
        <f>0.0833+B10</f>
        <v>0.74970000000000003</v>
      </c>
      <c r="C11" s="10">
        <f t="shared" si="0"/>
        <v>0.74999999999999989</v>
      </c>
      <c r="D11">
        <v>8000</v>
      </c>
    </row>
    <row r="12" spans="1:4" x14ac:dyDescent="0.3">
      <c r="A12" s="6" t="s">
        <v>583</v>
      </c>
      <c r="B12" s="11">
        <f>0.0833+B11</f>
        <v>0.83300000000000007</v>
      </c>
      <c r="C12" s="10">
        <f t="shared" si="0"/>
        <v>0.83999999999999986</v>
      </c>
      <c r="D12">
        <v>9000</v>
      </c>
    </row>
    <row r="13" spans="1:4" x14ac:dyDescent="0.3">
      <c r="A13" s="6" t="s">
        <v>584</v>
      </c>
      <c r="B13" s="11">
        <f>0.0833+B12</f>
        <v>0.91630000000000011</v>
      </c>
      <c r="C13" s="10">
        <f t="shared" si="0"/>
        <v>0.93999999999999984</v>
      </c>
      <c r="D13">
        <v>10000</v>
      </c>
    </row>
    <row r="14" spans="1:4" x14ac:dyDescent="0.3">
      <c r="A14" s="6" t="s">
        <v>585</v>
      </c>
      <c r="B14" s="11">
        <f>0.0833+B13</f>
        <v>0.99960000000000016</v>
      </c>
      <c r="C14" s="10">
        <f t="shared" si="0"/>
        <v>0.99999999999999978</v>
      </c>
      <c r="D14">
        <v>6000</v>
      </c>
    </row>
    <row r="16" spans="1:4" x14ac:dyDescent="0.3">
      <c r="A16" s="8" t="s">
        <v>589</v>
      </c>
      <c r="B16">
        <v>100000</v>
      </c>
    </row>
    <row r="20" spans="1:3" x14ac:dyDescent="0.3">
      <c r="A20" s="5" t="s">
        <v>586</v>
      </c>
      <c r="B20" s="3" t="s">
        <v>594</v>
      </c>
      <c r="C20" s="3" t="s">
        <v>593</v>
      </c>
    </row>
    <row r="21" spans="1:3" x14ac:dyDescent="0.3">
      <c r="A21" s="6" t="s">
        <v>574</v>
      </c>
      <c r="B21" s="2">
        <v>0</v>
      </c>
      <c r="C21" s="2">
        <v>0</v>
      </c>
    </row>
    <row r="22" spans="1:3" x14ac:dyDescent="0.3">
      <c r="A22" s="6" t="s">
        <v>575</v>
      </c>
      <c r="B22" s="2">
        <v>0</v>
      </c>
      <c r="C22" s="2">
        <v>0</v>
      </c>
    </row>
    <row r="23" spans="1:3" x14ac:dyDescent="0.3">
      <c r="A23" s="6" t="s">
        <v>576</v>
      </c>
      <c r="B23" s="2">
        <v>0</v>
      </c>
      <c r="C23" s="2">
        <v>0</v>
      </c>
    </row>
    <row r="24" spans="1:3" x14ac:dyDescent="0.3">
      <c r="A24" s="6" t="s">
        <v>577</v>
      </c>
      <c r="B24" s="2">
        <v>0</v>
      </c>
      <c r="C24" s="2">
        <v>0</v>
      </c>
    </row>
    <row r="25" spans="1:3" x14ac:dyDescent="0.3">
      <c r="A25" s="6" t="s">
        <v>578</v>
      </c>
      <c r="B25" s="2">
        <v>0</v>
      </c>
      <c r="C25" s="2">
        <v>0</v>
      </c>
    </row>
    <row r="26" spans="1:3" x14ac:dyDescent="0.3">
      <c r="A26" s="6" t="s">
        <v>579</v>
      </c>
      <c r="B26" s="2">
        <v>0</v>
      </c>
      <c r="C26" s="2">
        <v>0</v>
      </c>
    </row>
    <row r="27" spans="1:3" x14ac:dyDescent="0.3">
      <c r="A27" s="6" t="s">
        <v>580</v>
      </c>
      <c r="B27" s="2">
        <v>5</v>
      </c>
      <c r="C27" s="2">
        <v>3</v>
      </c>
    </row>
    <row r="28" spans="1:3" x14ac:dyDescent="0.3">
      <c r="A28" s="6" t="s">
        <v>581</v>
      </c>
      <c r="B28" s="2">
        <v>8</v>
      </c>
      <c r="C28" s="2">
        <v>5</v>
      </c>
    </row>
    <row r="29" spans="1:3" x14ac:dyDescent="0.3">
      <c r="A29" s="6" t="s">
        <v>582</v>
      </c>
      <c r="B29" s="2">
        <v>3</v>
      </c>
      <c r="C29" s="2">
        <v>5</v>
      </c>
    </row>
    <row r="30" spans="1:3" x14ac:dyDescent="0.3">
      <c r="A30" s="6" t="s">
        <v>583</v>
      </c>
      <c r="B30" s="2">
        <v>1</v>
      </c>
      <c r="C30" s="2">
        <v>4</v>
      </c>
    </row>
    <row r="31" spans="1:3" x14ac:dyDescent="0.3">
      <c r="A31" s="6" t="s">
        <v>584</v>
      </c>
      <c r="B31" s="2">
        <v>1</v>
      </c>
      <c r="C31" s="2">
        <v>2</v>
      </c>
    </row>
    <row r="32" spans="1:3" x14ac:dyDescent="0.3">
      <c r="A32" s="6" t="s">
        <v>585</v>
      </c>
      <c r="B32" s="2">
        <v>2</v>
      </c>
      <c r="C32" s="2">
        <v>1</v>
      </c>
    </row>
    <row r="35" spans="1:2" x14ac:dyDescent="0.3">
      <c r="A35" s="8" t="s">
        <v>595</v>
      </c>
      <c r="B35">
        <v>20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gráficas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Danilo Granda</cp:lastModifiedBy>
  <dcterms:created xsi:type="dcterms:W3CDTF">2026-07-16T03:08:08Z</dcterms:created>
  <dcterms:modified xsi:type="dcterms:W3CDTF">2026-07-16T04:49:29Z</dcterms:modified>
  <cp:category/>
</cp:coreProperties>
</file>